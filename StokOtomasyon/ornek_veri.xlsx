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k" sheetId="1" state="visible" r:id="rId3"/>
    <sheet name="Sipariş" sheetId="2" state="visible" r:id="rId4"/>
    <sheet name="Hediyelikler" sheetId="3" state="visible" r:id="rId5"/>
    <sheet name="Stok Giriş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<sst xmlns="http://schemas.openxmlformats.org/spreadsheetml/2006/main" count="119" uniqueCount="62">
  <si>
    <t xml:space="preserve">📦  STOK TAKİP PANELİ</t>
  </si>
  <si>
    <t xml:space="preserve">ÜRÜN ADI</t>
  </si>
  <si>
    <t xml:space="preserve">BAŞLANGIÇ
STOK</t>
  </si>
  <si>
    <t xml:space="preserve">STOK GİRİŞİ
(Otomatik)</t>
  </si>
  <si>
    <t xml:space="preserve">SİPARİŞ EDİLEN
(Otomatik)</t>
  </si>
  <si>
    <t xml:space="preserve">HEDİYE EDİLEN
(Otomatik)</t>
  </si>
  <si>
    <t xml:space="preserve">KALAN
STOK</t>
  </si>
  <si>
    <t xml:space="preserve">DURUM</t>
  </si>
  <si>
    <t xml:space="preserve">ÜRÜN SAYISI</t>
  </si>
  <si>
    <t xml:space="preserve">NX GASTRO</t>
  </si>
  <si>
    <t xml:space="preserve">NX B-KOMPLEKS</t>
  </si>
  <si>
    <t xml:space="preserve">NX KLOROFİL</t>
  </si>
  <si>
    <t xml:space="preserve">TOPLAM KALAN</t>
  </si>
  <si>
    <t xml:space="preserve">NX MAGNEZYUM</t>
  </si>
  <si>
    <t xml:space="preserve">NX KALSİYUM</t>
  </si>
  <si>
    <t xml:space="preserve">NX ANTİOKSİDAN</t>
  </si>
  <si>
    <t xml:space="preserve">KRİTİK</t>
  </si>
  <si>
    <t xml:space="preserve">NX FLORA</t>
  </si>
  <si>
    <t xml:space="preserve">NX OMEGA</t>
  </si>
  <si>
    <t xml:space="preserve">NX MULTİVİTAMİN</t>
  </si>
  <si>
    <t xml:space="preserve">TÜKENDİ</t>
  </si>
  <si>
    <t xml:space="preserve">NX KALSİYUM KREM</t>
  </si>
  <si>
    <t xml:space="preserve">NX BAKIM KREMİ</t>
  </si>
  <si>
    <t xml:space="preserve">NX DENGE</t>
  </si>
  <si>
    <t xml:space="preserve">NX NEMLENDİRİCİ</t>
  </si>
  <si>
    <t xml:space="preserve">NX GÜNEŞ KREMİ</t>
  </si>
  <si>
    <t xml:space="preserve">NX DİŞ MACUNU</t>
  </si>
  <si>
    <t xml:space="preserve">NX ŞAMPUAN</t>
  </si>
  <si>
    <t xml:space="preserve">NX YÜZ KÖPÜĞÜ</t>
  </si>
  <si>
    <t xml:space="preserve">NX DETOKS KAHVE</t>
  </si>
  <si>
    <t xml:space="preserve">NX DETOKS LATTE</t>
  </si>
  <si>
    <t xml:space="preserve">🧾  SİPARİŞ KAYITLARI</t>
  </si>
  <si>
    <t xml:space="preserve">VERİLEN KİŞİ
AD SOYAD</t>
  </si>
  <si>
    <t xml:space="preserve">TESLİM
TARİHİ</t>
  </si>
  <si>
    <t xml:space="preserve">NEDENİ</t>
  </si>
  <si>
    <t xml:space="preserve">TOPLAM</t>
  </si>
  <si>
    <t xml:space="preserve">Ahmet Yılmaz</t>
  </si>
  <si>
    <t xml:space="preserve">SİPARİŞ</t>
  </si>
  <si>
    <t xml:space="preserve">ZEYNEP DEMİR</t>
  </si>
  <si>
    <t xml:space="preserve">MUSTAFA KAYA</t>
  </si>
  <si>
    <t xml:space="preserve">ELİF ŞAHİN</t>
  </si>
  <si>
    <t xml:space="preserve">MEHMET UÇAR</t>
  </si>
  <si>
    <t xml:space="preserve">FATMA AYDIN</t>
  </si>
  <si>
    <t xml:space="preserve">HASAN DOĞAN</t>
  </si>
  <si>
    <t xml:space="preserve">MERVE ARSLAN</t>
  </si>
  <si>
    <t xml:space="preserve">OSMAN KURT</t>
  </si>
  <si>
    <t xml:space="preserve">SELİN YILDIZ</t>
  </si>
  <si>
    <t xml:space="preserve">BURAK SEVİM</t>
  </si>
  <si>
    <t xml:space="preserve">NURAY KOÇ</t>
  </si>
  <si>
    <t xml:space="preserve">SERKAN AVCI</t>
  </si>
  <si>
    <t xml:space="preserve">PINAR TAŞ</t>
  </si>
  <si>
    <t xml:space="preserve">KEMAL ERDEM</t>
  </si>
  <si>
    <t xml:space="preserve">Derya Güneş</t>
  </si>
  <si>
    <t xml:space="preserve">🎁  HEDİYELİKLER  </t>
  </si>
  <si>
    <t xml:space="preserve">HEDİYE VERİLEN KİŞİ</t>
  </si>
  <si>
    <t xml:space="preserve">TARİH</t>
  </si>
  <si>
    <t xml:space="preserve">Tolga Bulut</t>
  </si>
  <si>
    <t xml:space="preserve">Sevda Akın</t>
  </si>
  <si>
    <t xml:space="preserve">Onur Balcı</t>
  </si>
  <si>
    <t xml:space="preserve">➕  STOK GİRİŞİ</t>
  </si>
  <si>
    <t xml:space="preserve">ADET</t>
  </si>
  <si>
    <t xml:space="preserve">AÇIKLAMA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</si>
</sst>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\.mm\.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E8F2F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3B3C"/>
      <name val="Arial"/>
      <family val="0"/>
      <charset val="1"/>
    </font>
    <font>
      <sz val="10"/>
      <color rgb="FF1F2A2A"/>
      <name val="Arial"/>
      <family val="0"/>
      <charset val="1"/>
    </font>
    <font>
      <b val="true"/>
      <sz val="10"/>
      <color rgb="FF0F3B3C"/>
      <name val="Arial"/>
      <family val="0"/>
      <charset val="1"/>
    </font>
    <font>
      <b val="true"/>
      <sz val="16"/>
      <color rgb="FF0F3B3C"/>
      <name val="Arial"/>
      <family val="0"/>
      <charset val="1"/>
    </font>
    <font>
      <b val="true"/>
      <sz val="8"/>
      <color rgb="FF0D47A1"/>
      <name val="Arial"/>
      <family val="0"/>
      <charset val="1"/>
    </font>
    <font>
      <b val="true"/>
      <sz val="16"/>
      <color rgb="FF0D47A1"/>
      <name val="Arial"/>
      <family val="0"/>
      <charset val="1"/>
    </font>
    <font>
      <b val="true"/>
      <sz val="8"/>
      <color rgb="FF8A6100"/>
      <name val="Arial"/>
      <family val="0"/>
      <charset val="1"/>
    </font>
    <font>
      <b val="true"/>
      <sz val="16"/>
      <color rgb="FF8A6100"/>
      <name val="Arial"/>
      <family val="0"/>
      <charset val="1"/>
    </font>
    <font>
      <b val="true"/>
      <sz val="8"/>
      <color rgb="FFA12622"/>
      <name val="Arial"/>
      <family val="0"/>
      <charset val="1"/>
    </font>
    <font>
      <b val="true"/>
      <sz val="16"/>
      <color rgb="FFA126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F3B3C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3B3C"/>
        <bgColor rgb="FF1F2A2A"/>
      </patternFill>
    </fill>
    <fill>
      <patternFill patternType="solid">
        <fgColor rgb="FFD9A441"/>
        <bgColor rgb="FFFF8080"/>
      </patternFill>
    </fill>
    <fill>
      <patternFill patternType="solid">
        <fgColor rgb="FF146C6E"/>
        <bgColor rgb="FF008080"/>
      </patternFill>
    </fill>
    <fill>
      <patternFill patternType="solid">
        <fgColor rgb="FFE0F2F1"/>
        <bgColor rgb="FFE3F2FD"/>
      </patternFill>
    </fill>
    <fill>
      <patternFill patternType="solid">
        <fgColor rgb="FFFFF6DE"/>
        <bgColor rgb="FFFFF3CD"/>
      </patternFill>
    </fill>
    <fill>
      <patternFill patternType="solid">
        <fgColor rgb="FFEFF7F7"/>
        <bgColor rgb="FFE8F2F2"/>
      </patternFill>
    </fill>
    <fill>
      <patternFill patternType="solid">
        <fgColor rgb="FFFFFFFF"/>
        <bgColor rgb="FFEFF7F7"/>
      </patternFill>
    </fill>
    <fill>
      <patternFill patternType="solid">
        <fgColor rgb="FFE3F2FD"/>
        <bgColor rgb="FFE0F2F1"/>
      </patternFill>
    </fill>
    <fill>
      <patternFill patternType="solid">
        <fgColor rgb="FFFFF3CD"/>
        <bgColor rgb="FFFFF6DE"/>
      </patternFill>
    </fill>
    <fill>
      <patternFill patternType="solid">
        <fgColor rgb="FFFDE2E2"/>
        <bgColor rgb="FFF7EFDB"/>
      </patternFill>
    </fill>
    <fill>
      <patternFill patternType="solid">
        <fgColor rgb="FFF7EFDB"/>
        <bgColor rgb="FFFFF6D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CDC"/>
      </left>
      <right style="thin">
        <color rgb="FFC9DCDC"/>
      </right>
      <top style="medium">
        <color rgb="FF146C6E"/>
      </top>
      <bottom style="medium">
        <color rgb="FF146C6E"/>
      </bottom>
      <diagonal/>
    </border>
    <border diagonalUp="false" diagonalDown="false">
      <left style="thin">
        <color rgb="FFC9DCDC"/>
      </left>
      <right style="thin">
        <color rgb="FFC9DCDC"/>
      </right>
      <top style="thin">
        <color rgb="FFC9DCDC"/>
      </top>
      <bottom style="thin">
        <color rgb="FFC9DC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BD5D5"/>
        </patternFill>
      </fill>
    </dxf>
    <dxf>
      <fill>
        <patternFill>
          <bgColor rgb="FFFFE9B3"/>
        </patternFill>
      </fill>
    </dxf>
    <dxf>
      <fill>
        <patternFill>
          <bgColor rgb="FFD5F0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00FFFF"/>
      <rgbColor rgb="FF800000"/>
      <rgbColor rgb="FF008000"/>
      <rgbColor rgb="FF000080"/>
      <rgbColor rgb="FF8A6100"/>
      <rgbColor rgb="FF800080"/>
      <rgbColor rgb="FF146C6E"/>
      <rgbColor rgb="FFFDE2E2"/>
      <rgbColor rgb="FF808080"/>
      <rgbColor rgb="FF9999FF"/>
      <rgbColor rgb="FF993366"/>
      <rgbColor rgb="FFFFF6DE"/>
      <rgbColor rgb="FFE0F2F1"/>
      <rgbColor rgb="FF660066"/>
      <rgbColor rgb="FFFF8080"/>
      <rgbColor rgb="FF0066CC"/>
      <rgbColor rgb="FFC9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D5F0DC"/>
      <rgbColor rgb="FFFFE9B3"/>
      <rgbColor rgb="FFE8F2F2"/>
      <rgbColor rgb="FFF7EFDB"/>
      <rgbColor rgb="FFEFF7F7"/>
      <rgbColor rgb="FFFBD5D5"/>
      <rgbColor rgb="FF3366FF"/>
      <rgbColor rgb="FF33CCCC"/>
      <rgbColor rgb="FF99CC00"/>
      <rgbColor rgb="FFFFCC00"/>
      <rgbColor rgb="FFD9A441"/>
      <rgbColor rgb="FFFF6600"/>
      <rgbColor rgb="FF666699"/>
      <rgbColor rgb="FF969696"/>
      <rgbColor rgb="FF0F3B3C"/>
      <rgbColor rgb="FF339966"/>
      <rgbColor rgb="FF003300"/>
      <rgbColor rgb="FF333300"/>
      <rgbColor rgb="FFA12622"/>
      <rgbColor rgb="FF993366"/>
      <rgbColor rgb="FF0D47A1"/>
      <rgbColor rgb="FF1F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Q24" activeCellId="0" sqref="Q2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.29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5" min="4" style="1" width="15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3"/>
    <col collapsed="false" customWidth="true" hidden="false" outlineLevel="0" max="10" min="9" style="1" width="11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5" customFormat="false" ht="30" hidden="false" customHeight="true" outlineLevel="0" collapsed="false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I5" s="6" t="s">
        <v>8</v>
      </c>
      <c r="J5" s="6"/>
    </row>
    <row r="6" customFormat="false" ht="24" hidden="false" customHeight="true" outlineLevel="0" collapsed="false">
      <c r="A6" s="7" t="s">
        <v>9</v>
      </c>
      <c r="B6" s="8" t="n">
        <v>211</v>
      </c>
      <c r="C6" s="9" t="n">
        <f aca="false">IF($A6="","",SUMIF('Stok Giriş'!$B$3:$B$202,$A6,'Stok Giriş'!$C$3:$C$202))</f>
        <v>0</v>
      </c>
      <c r="D6" s="9" t="n">
        <f aca="false">IF($A6="","",SUMPRODUCT((Sipariş!$D$2:$AA$2=$A6)*Sipariş!$D$3:$AA$302))</f>
        <v>23</v>
      </c>
      <c r="E6" s="9" t="n">
        <f aca="false">IF($A6="","",SUMPRODUCT((Hediyelikler!$C$2:$Z$2=$A6)*Hediyelikler!$C$3:$Z$302))</f>
        <v>0</v>
      </c>
      <c r="F6" s="10" t="n">
        <f aca="false">IF($A6="","",N($B6)+$C6-$D6-$E6)</f>
        <v>188</v>
      </c>
      <c r="G6" s="9" t="str">
        <f aca="false">IF($A6="","",IF($F6&lt;=0,"TÜKENDİ",IF($F6&lt;20,"KRİTİK","YETERLİ")))</f>
        <v>YETERLİ</v>
      </c>
      <c r="I6" s="11" t="n">
        <f aca="false">COUNTA($A$6:$A$55)</f>
        <v>19</v>
      </c>
      <c r="J6" s="11"/>
    </row>
    <row r="7" customFormat="false" ht="15" hidden="false" customHeight="true" outlineLevel="0" collapsed="false">
      <c r="A7" s="7" t="s">
        <v>10</v>
      </c>
      <c r="B7" s="8" t="n">
        <v>48</v>
      </c>
      <c r="C7" s="12" t="n">
        <f aca="false">IF($A7="","",SUMIF('Stok Giriş'!$B$3:$B$202,$A7,'Stok Giriş'!$C$3:$C$202))</f>
        <v>0</v>
      </c>
      <c r="D7" s="12" t="n">
        <f aca="false">IF($A7="","",SUMPRODUCT((Sipariş!$D$2:$AA$2=$A7)*Sipariş!$D$3:$AA$302))</f>
        <v>0</v>
      </c>
      <c r="E7" s="12" t="n">
        <f aca="false">IF($A7="","",SUMPRODUCT((Hediyelikler!$C$2:$Z$2=$A7)*Hediyelikler!$C$3:$Z$302))</f>
        <v>0</v>
      </c>
      <c r="F7" s="13" t="n">
        <f aca="false">IF($A7="","",N($B7)+$C7-$D7-$E7)</f>
        <v>48</v>
      </c>
      <c r="G7" s="12" t="str">
        <f aca="false">IF($A7="","",IF($F7&lt;=0,"TÜKENDİ",IF($F7&lt;20,"KRİTİK","YETERLİ")))</f>
        <v>YETERLİ</v>
      </c>
    </row>
    <row r="8" customFormat="false" ht="15" hidden="false" customHeight="true" outlineLevel="0" collapsed="false">
      <c r="A8" s="7" t="s">
        <v>11</v>
      </c>
      <c r="B8" s="8" t="n">
        <v>555</v>
      </c>
      <c r="C8" s="9" t="n">
        <f aca="false">IF($A8="","",SUMIF('Stok Giriş'!$B$3:$B$202,$A8,'Stok Giriş'!$C$3:$C$202))</f>
        <v>0</v>
      </c>
      <c r="D8" s="9" t="n">
        <f aca="false">IF($A8="","",SUMPRODUCT((Sipariş!$D$2:$AA$2=$A8)*Sipariş!$D$3:$AA$302))</f>
        <v>27</v>
      </c>
      <c r="E8" s="9" t="n">
        <f aca="false">IF($A8="","",SUMPRODUCT((Hediyelikler!$C$2:$Z$2=$A8)*Hediyelikler!$C$3:$Z$302))</f>
        <v>14</v>
      </c>
      <c r="F8" s="10" t="n">
        <f aca="false">IF($A8="","",N($B8)+$C8-$D8-$E8)</f>
        <v>514</v>
      </c>
      <c r="G8" s="9" t="str">
        <f aca="false">IF($A8="","",IF($F8&lt;=0,"TÜKENDİ",IF($F8&lt;20,"KRİTİK","YETERLİ")))</f>
        <v>YETERLİ</v>
      </c>
      <c r="I8" s="14" t="s">
        <v>12</v>
      </c>
      <c r="J8" s="14"/>
    </row>
    <row r="9" customFormat="false" ht="24" hidden="false" customHeight="true" outlineLevel="0" collapsed="false">
      <c r="A9" s="7" t="s">
        <v>13</v>
      </c>
      <c r="B9" s="8" t="n">
        <v>1970</v>
      </c>
      <c r="C9" s="12" t="n">
        <f aca="false">IF($A9="","",SUMIF('Stok Giriş'!$B$3:$B$202,$A9,'Stok Giriş'!$C$3:$C$202))</f>
        <v>0</v>
      </c>
      <c r="D9" s="12" t="n">
        <f aca="false">IF($A9="","",SUMPRODUCT((Sipariş!$D$2:$AA$2=$A9)*Sipariş!$D$3:$AA$302))</f>
        <v>39</v>
      </c>
      <c r="E9" s="12" t="n">
        <f aca="false">IF($A9="","",SUMPRODUCT((Hediyelikler!$C$2:$Z$2=$A9)*Hediyelikler!$C$3:$Z$302))</f>
        <v>4</v>
      </c>
      <c r="F9" s="13" t="n">
        <f aca="false">IF($A9="","",N($B9)+$C9-$D9-$E9)</f>
        <v>1927</v>
      </c>
      <c r="G9" s="12" t="str">
        <f aca="false">IF($A9="","",IF($F9&lt;=0,"TÜKENDİ",IF($F9&lt;20,"KRİTİK","YETERLİ")))</f>
        <v>YETERLİ</v>
      </c>
      <c r="I9" s="15" t="n">
        <f aca="false">SUMIF($F$6:$F$55,"&gt;0")</f>
        <v>11140</v>
      </c>
      <c r="J9" s="15"/>
    </row>
    <row r="10" customFormat="false" ht="15" hidden="false" customHeight="true" outlineLevel="0" collapsed="false">
      <c r="A10" s="7" t="s">
        <v>14</v>
      </c>
      <c r="B10" s="8" t="n">
        <v>94</v>
      </c>
      <c r="C10" s="9" t="n">
        <f aca="false">IF($A10="","",SUMIF('Stok Giriş'!$B$3:$B$202,$A10,'Stok Giriş'!$C$3:$C$202))</f>
        <v>0</v>
      </c>
      <c r="D10" s="9" t="n">
        <f aca="false">IF($A10="","",SUMPRODUCT((Sipariş!$D$2:$AA$2=$A10)*Sipariş!$D$3:$AA$302))</f>
        <v>17</v>
      </c>
      <c r="E10" s="9" t="n">
        <f aca="false">IF($A10="","",SUMPRODUCT((Hediyelikler!$C$2:$Z$2=$A10)*Hediyelikler!$C$3:$Z$302))</f>
        <v>0</v>
      </c>
      <c r="F10" s="10" t="n">
        <f aca="false">IF($A10="","",N($B10)+$C10-$D10-$E10)</f>
        <v>77</v>
      </c>
      <c r="G10" s="9" t="str">
        <f aca="false">IF($A10="","",IF($F10&lt;=0,"TÜKENDİ",IF($F10&lt;20,"KRİTİK","YETERLİ")))</f>
        <v>YETERLİ</v>
      </c>
    </row>
    <row r="11" customFormat="false" ht="15" hidden="false" customHeight="true" outlineLevel="0" collapsed="false">
      <c r="A11" s="7" t="s">
        <v>15</v>
      </c>
      <c r="B11" s="8" t="n">
        <v>178</v>
      </c>
      <c r="C11" s="12" t="n">
        <f aca="false">IF($A11="","",SUMIF('Stok Giriş'!$B$3:$B$202,$A11,'Stok Giriş'!$C$3:$C$202))</f>
        <v>0</v>
      </c>
      <c r="D11" s="12" t="n">
        <f aca="false">IF($A11="","",SUMPRODUCT((Sipariş!$D$2:$AA$2=$A11)*Sipariş!$D$3:$AA$302))</f>
        <v>0</v>
      </c>
      <c r="E11" s="12" t="n">
        <f aca="false">IF($A11="","",SUMPRODUCT((Hediyelikler!$C$2:$Z$2=$A11)*Hediyelikler!$C$3:$Z$302))</f>
        <v>0</v>
      </c>
      <c r="F11" s="13" t="n">
        <f aca="false">IF($A11="","",N($B11)+$C11-$D11-$E11)</f>
        <v>178</v>
      </c>
      <c r="G11" s="12" t="str">
        <f aca="false">IF($A11="","",IF($F11&lt;=0,"TÜKENDİ",IF($F11&lt;20,"KRİTİK","YETERLİ")))</f>
        <v>YETERLİ</v>
      </c>
      <c r="I11" s="16" t="s">
        <v>16</v>
      </c>
      <c r="J11" s="16"/>
    </row>
    <row r="12" customFormat="false" ht="24" hidden="false" customHeight="true" outlineLevel="0" collapsed="false">
      <c r="A12" s="7" t="s">
        <v>17</v>
      </c>
      <c r="B12" s="8" t="n">
        <v>225</v>
      </c>
      <c r="C12" s="9" t="n">
        <f aca="false">IF($A12="","",SUMIF('Stok Giriş'!$B$3:$B$202,$A12,'Stok Giriş'!$C$3:$C$202))</f>
        <v>0</v>
      </c>
      <c r="D12" s="9" t="n">
        <f aca="false">IF($A12="","",SUMPRODUCT((Sipariş!$D$2:$AA$2=$A12)*Sipariş!$D$3:$AA$302))</f>
        <v>26</v>
      </c>
      <c r="E12" s="9" t="n">
        <f aca="false">IF($A12="","",SUMPRODUCT((Hediyelikler!$C$2:$Z$2=$A12)*Hediyelikler!$C$3:$Z$302))</f>
        <v>0</v>
      </c>
      <c r="F12" s="10" t="n">
        <f aca="false">IF($A12="","",N($B12)+$C12-$D12-$E12)</f>
        <v>199</v>
      </c>
      <c r="G12" s="9" t="str">
        <f aca="false">IF($A12="","",IF($F12&lt;=0,"TÜKENDİ",IF($F12&lt;20,"KRİTİK","YETERLİ")))</f>
        <v>YETERLİ</v>
      </c>
      <c r="I12" s="17" t="n">
        <f aca="false">COUNTIF($G$6:$G$55,"KRİTİK")</f>
        <v>2</v>
      </c>
      <c r="J12" s="17"/>
    </row>
    <row r="13" customFormat="false" ht="15" hidden="false" customHeight="true" outlineLevel="0" collapsed="false">
      <c r="A13" s="7" t="s">
        <v>18</v>
      </c>
      <c r="B13" s="8" t="n">
        <v>249</v>
      </c>
      <c r="C13" s="12" t="n">
        <f aca="false">IF($A13="","",SUMIF('Stok Giriş'!$B$3:$B$202,$A13,'Stok Giriş'!$C$3:$C$202))</f>
        <v>0</v>
      </c>
      <c r="D13" s="12" t="n">
        <f aca="false">IF($A13="","",SUMPRODUCT((Sipariş!$D$2:$AA$2=$A13)*Sipariş!$D$3:$AA$302))</f>
        <v>0</v>
      </c>
      <c r="E13" s="12" t="n">
        <f aca="false">IF($A13="","",SUMPRODUCT((Hediyelikler!$C$2:$Z$2=$A13)*Hediyelikler!$C$3:$Z$302))</f>
        <v>0</v>
      </c>
      <c r="F13" s="13" t="n">
        <f aca="false">IF($A13="","",N($B13)+$C13-$D13-$E13)</f>
        <v>249</v>
      </c>
      <c r="G13" s="12" t="str">
        <f aca="false">IF($A13="","",IF($F13&lt;=0,"TÜKENDİ",IF($F13&lt;20,"KRİTİK","YETERLİ")))</f>
        <v>YETERLİ</v>
      </c>
    </row>
    <row r="14" customFormat="false" ht="15" hidden="false" customHeight="true" outlineLevel="0" collapsed="false">
      <c r="A14" s="7" t="s">
        <v>19</v>
      </c>
      <c r="B14" s="8" t="n">
        <v>205</v>
      </c>
      <c r="C14" s="9" t="n">
        <f aca="false">IF($A14="","",SUMIF('Stok Giriş'!$B$3:$B$202,$A14,'Stok Giriş'!$C$3:$C$202))</f>
        <v>0</v>
      </c>
      <c r="D14" s="9" t="n">
        <f aca="false">IF($A14="","",SUMPRODUCT((Sipariş!$D$2:$AA$2=$A14)*Sipariş!$D$3:$AA$302))</f>
        <v>30</v>
      </c>
      <c r="E14" s="9" t="n">
        <f aca="false">IF($A14="","",SUMPRODUCT((Hediyelikler!$C$2:$Z$2=$A14)*Hediyelikler!$C$3:$Z$302))</f>
        <v>9</v>
      </c>
      <c r="F14" s="10" t="n">
        <f aca="false">IF($A14="","",N($B14)+$C14-$D14-$E14)</f>
        <v>166</v>
      </c>
      <c r="G14" s="9" t="str">
        <f aca="false">IF($A14="","",IF($F14&lt;=0,"TÜKENDİ",IF($F14&lt;20,"KRİTİK","YETERLİ")))</f>
        <v>YETERLİ</v>
      </c>
      <c r="I14" s="18" t="s">
        <v>20</v>
      </c>
      <c r="J14" s="18"/>
    </row>
    <row r="15" customFormat="false" ht="24" hidden="false" customHeight="true" outlineLevel="0" collapsed="false">
      <c r="A15" s="7" t="s">
        <v>21</v>
      </c>
      <c r="B15" s="8" t="n">
        <v>2231</v>
      </c>
      <c r="C15" s="12" t="n">
        <f aca="false">IF($A15="","",SUMIF('Stok Giriş'!$B$3:$B$202,$A15,'Stok Giriş'!$C$3:$C$202))</f>
        <v>0</v>
      </c>
      <c r="D15" s="12" t="n">
        <f aca="false">IF($A15="","",SUMPRODUCT((Sipariş!$D$2:$AA$2=$A15)*Sipariş!$D$3:$AA$302))</f>
        <v>27</v>
      </c>
      <c r="E15" s="12" t="n">
        <f aca="false">IF($A15="","",SUMPRODUCT((Hediyelikler!$C$2:$Z$2=$A15)*Hediyelikler!$C$3:$Z$302))</f>
        <v>0</v>
      </c>
      <c r="F15" s="13" t="n">
        <f aca="false">IF($A15="","",N($B15)+$C15-$D15-$E15)</f>
        <v>2204</v>
      </c>
      <c r="G15" s="12" t="str">
        <f aca="false">IF($A15="","",IF($F15&lt;=0,"TÜKENDİ",IF($F15&lt;20,"KRİTİK","YETERLİ")))</f>
        <v>YETERLİ</v>
      </c>
      <c r="I15" s="19" t="n">
        <f aca="false">COUNTIF($G$6:$G$55,"TÜKENDİ")</f>
        <v>2</v>
      </c>
      <c r="J15" s="19"/>
    </row>
    <row r="16" customFormat="false" ht="15" hidden="false" customHeight="true" outlineLevel="0" collapsed="false">
      <c r="A16" s="7" t="s">
        <v>22</v>
      </c>
      <c r="B16" s="8" t="n">
        <v>187</v>
      </c>
      <c r="C16" s="9" t="n">
        <f aca="false">IF($A16="","",SUMIF('Stok Giriş'!$B$3:$B$202,$A16,'Stok Giriş'!$C$3:$C$202))</f>
        <v>0</v>
      </c>
      <c r="D16" s="9" t="n">
        <f aca="false">IF($A16="","",SUMPRODUCT((Sipariş!$D$2:$AA$2=$A16)*Sipariş!$D$3:$AA$302))</f>
        <v>57</v>
      </c>
      <c r="E16" s="9" t="n">
        <f aca="false">IF($A16="","",SUMPRODUCT((Hediyelikler!$C$2:$Z$2=$A16)*Hediyelikler!$C$3:$Z$302))</f>
        <v>0</v>
      </c>
      <c r="F16" s="10" t="n">
        <f aca="false">IF($A16="","",N($B16)+$C16-$D16-$E16)</f>
        <v>130</v>
      </c>
      <c r="G16" s="9" t="str">
        <f aca="false">IF($A16="","",IF($F16&lt;=0,"TÜKENDİ",IF($F16&lt;20,"KRİTİK","YETERLİ")))</f>
        <v>YETERLİ</v>
      </c>
    </row>
    <row r="17" customFormat="false" ht="15" hidden="false" customHeight="true" outlineLevel="0" collapsed="false">
      <c r="A17" s="7" t="s">
        <v>23</v>
      </c>
      <c r="B17" s="8" t="n">
        <v>299</v>
      </c>
      <c r="C17" s="12" t="n">
        <f aca="false">IF($A17="","",SUMIF('Stok Giriş'!$B$3:$B$202,$A17,'Stok Giriş'!$C$3:$C$202))</f>
        <v>0</v>
      </c>
      <c r="D17" s="12" t="n">
        <f aca="false">IF($A17="","",SUMPRODUCT((Sipariş!$D$2:$AA$2=$A17)*Sipariş!$D$3:$AA$302))</f>
        <v>30</v>
      </c>
      <c r="E17" s="12" t="n">
        <f aca="false">IF($A17="","",SUMPRODUCT((Hediyelikler!$C$2:$Z$2=$A17)*Hediyelikler!$C$3:$Z$302))</f>
        <v>0</v>
      </c>
      <c r="F17" s="13" t="n">
        <f aca="false">IF($A17="","",N($B17)+$C17-$D17-$E17)</f>
        <v>269</v>
      </c>
      <c r="G17" s="12" t="str">
        <f aca="false">IF($A17="","",IF($F17&lt;=0,"TÜKENDİ",IF($F17&lt;20,"KRİTİK","YETERLİ")))</f>
        <v>YETERLİ</v>
      </c>
    </row>
    <row r="18" customFormat="false" ht="15" hidden="false" customHeight="true" outlineLevel="0" collapsed="false">
      <c r="A18" s="7" t="s">
        <v>24</v>
      </c>
      <c r="B18" s="8" t="n">
        <v>2055</v>
      </c>
      <c r="C18" s="9" t="n">
        <f aca="false">IF($A18="","",SUMIF('Stok Giriş'!$B$3:$B$202,$A18,'Stok Giriş'!$C$3:$C$202))</f>
        <v>0</v>
      </c>
      <c r="D18" s="9" t="n">
        <f aca="false">IF($A18="","",SUMPRODUCT((Sipariş!$D$2:$AA$2=$A18)*Sipariş!$D$3:$AA$302))</f>
        <v>27</v>
      </c>
      <c r="E18" s="9" t="n">
        <f aca="false">IF($A18="","",SUMPRODUCT((Hediyelikler!$C$2:$Z$2=$A18)*Hediyelikler!$C$3:$Z$302))</f>
        <v>11</v>
      </c>
      <c r="F18" s="10" t="n">
        <f aca="false">IF($A18="","",N($B18)+$C18-$D18-$E18)</f>
        <v>2017</v>
      </c>
      <c r="G18" s="9" t="str">
        <f aca="false">IF($A18="","",IF($F18&lt;=0,"TÜKENDİ",IF($F18&lt;20,"KRİTİK","YETERLİ")))</f>
        <v>YETERLİ</v>
      </c>
    </row>
    <row r="19" customFormat="false" ht="15" hidden="false" customHeight="true" outlineLevel="0" collapsed="false">
      <c r="A19" s="7" t="s">
        <v>25</v>
      </c>
      <c r="B19" s="8" t="n">
        <v>49</v>
      </c>
      <c r="C19" s="12" t="n">
        <f aca="false">IF($A19="","",SUMIF('Stok Giriş'!$B$3:$B$202,$A19,'Stok Giriş'!$C$3:$C$202))</f>
        <v>0</v>
      </c>
      <c r="D19" s="12" t="n">
        <f aca="false">IF($A19="","",SUMPRODUCT((Sipariş!$D$2:$AA$2=$A19)*Sipariş!$D$3:$AA$302))</f>
        <v>40</v>
      </c>
      <c r="E19" s="12" t="n">
        <f aca="false">IF($A19="","",SUMPRODUCT((Hediyelikler!$C$2:$Z$2=$A19)*Hediyelikler!$C$3:$Z$302))</f>
        <v>9</v>
      </c>
      <c r="F19" s="13" t="n">
        <f aca="false">IF($A19="","",N($B19)+$C19-$D19-$E19)</f>
        <v>0</v>
      </c>
      <c r="G19" s="12" t="str">
        <f aca="false">IF($A19="","",IF($F19&lt;=0,"TÜKENDİ",IF($F19&lt;20,"KRİTİK","YETERLİ")))</f>
        <v>TÜKENDİ</v>
      </c>
    </row>
    <row r="20" customFormat="false" ht="15" hidden="false" customHeight="true" outlineLevel="0" collapsed="false">
      <c r="A20" s="7" t="s">
        <v>26</v>
      </c>
      <c r="B20" s="8" t="n">
        <v>69</v>
      </c>
      <c r="C20" s="9" t="n">
        <f aca="false">IF($A20="","",SUMIF('Stok Giriş'!$B$3:$B$202,$A20,'Stok Giriş'!$C$3:$C$202))</f>
        <v>0</v>
      </c>
      <c r="D20" s="9" t="n">
        <f aca="false">IF($A20="","",SUMPRODUCT((Sipariş!$D$2:$AA$2=$A20)*Sipariş!$D$3:$AA$302))</f>
        <v>61</v>
      </c>
      <c r="E20" s="9" t="n">
        <f aca="false">IF($A20="","",SUMPRODUCT((Hediyelikler!$C$2:$Z$2=$A20)*Hediyelikler!$C$3:$Z$302))</f>
        <v>8</v>
      </c>
      <c r="F20" s="10" t="n">
        <f aca="false">IF($A20="","",N($B20)+$C20-$D20-$E20)</f>
        <v>0</v>
      </c>
      <c r="G20" s="9" t="str">
        <f aca="false">IF($A20="","",IF($F20&lt;=0,"TÜKENDİ",IF($F20&lt;20,"KRİTİK","YETERLİ")))</f>
        <v>TÜKENDİ</v>
      </c>
    </row>
    <row r="21" customFormat="false" ht="15" hidden="false" customHeight="true" outlineLevel="0" collapsed="false">
      <c r="A21" s="7" t="s">
        <v>27</v>
      </c>
      <c r="B21" s="8" t="n">
        <v>22</v>
      </c>
      <c r="C21" s="12" t="n">
        <f aca="false">IF($A21="","",SUMIF('Stok Giriş'!$B$3:$B$202,$A21,'Stok Giriş'!$C$3:$C$202))</f>
        <v>0</v>
      </c>
      <c r="D21" s="12" t="n">
        <f aca="false">IF($A21="","",SUMPRODUCT((Sipariş!$D$2:$AA$2=$A21)*Sipariş!$D$3:$AA$302))</f>
        <v>17</v>
      </c>
      <c r="E21" s="12" t="n">
        <f aca="false">IF($A21="","",SUMPRODUCT((Hediyelikler!$C$2:$Z$2=$A21)*Hediyelikler!$C$3:$Z$302))</f>
        <v>1</v>
      </c>
      <c r="F21" s="13" t="n">
        <f aca="false">IF($A21="","",N($B21)+$C21-$D21-$E21)</f>
        <v>4</v>
      </c>
      <c r="G21" s="12" t="str">
        <f aca="false">IF($A21="","",IF($F21&lt;=0,"TÜKENDİ",IF($F21&lt;20,"KRİTİK","YETERLİ")))</f>
        <v>KRİTİK</v>
      </c>
    </row>
    <row r="22" customFormat="false" ht="15" hidden="false" customHeight="true" outlineLevel="0" collapsed="false">
      <c r="A22" s="7" t="s">
        <v>28</v>
      </c>
      <c r="B22" s="8" t="n">
        <v>277</v>
      </c>
      <c r="C22" s="9" t="n">
        <f aca="false">IF($A22="","",SUMIF('Stok Giriş'!$B$3:$B$202,$A22,'Stok Giriş'!$C$3:$C$202))</f>
        <v>0</v>
      </c>
      <c r="D22" s="9" t="n">
        <f aca="false">IF($A22="","",SUMPRODUCT((Sipariş!$D$2:$AA$2=$A22)*Sipariş!$D$3:$AA$302))</f>
        <v>35</v>
      </c>
      <c r="E22" s="9" t="n">
        <f aca="false">IF($A22="","",SUMPRODUCT((Hediyelikler!$C$2:$Z$2=$A22)*Hediyelikler!$C$3:$Z$302))</f>
        <v>0</v>
      </c>
      <c r="F22" s="10" t="n">
        <f aca="false">IF($A22="","",N($B22)+$C22-$D22-$E22)</f>
        <v>242</v>
      </c>
      <c r="G22" s="9" t="str">
        <f aca="false">IF($A22="","",IF($F22&lt;=0,"TÜKENDİ",IF($F22&lt;20,"KRİTİK","YETERLİ")))</f>
        <v>YETERLİ</v>
      </c>
    </row>
    <row r="23" customFormat="false" ht="15" hidden="false" customHeight="true" outlineLevel="0" collapsed="false">
      <c r="A23" s="7" t="s">
        <v>29</v>
      </c>
      <c r="B23" s="8" t="n">
        <v>22</v>
      </c>
      <c r="C23" s="12" t="n">
        <f aca="false">IF($A23="","",SUMIF('Stok Giriş'!$B$3:$B$202,$A23,'Stok Giriş'!$C$3:$C$202))</f>
        <v>0</v>
      </c>
      <c r="D23" s="12" t="n">
        <f aca="false">IF($A23="","",SUMPRODUCT((Sipariş!$D$2:$AA$2=$A23)*Sipariş!$D$3:$AA$302))</f>
        <v>10</v>
      </c>
      <c r="E23" s="12" t="n">
        <f aca="false">IF($A23="","",SUMPRODUCT((Hediyelikler!$C$2:$Z$2=$A23)*Hediyelikler!$C$3:$Z$302))</f>
        <v>11</v>
      </c>
      <c r="F23" s="13" t="n">
        <f aca="false">IF($A23="","",N($B23)+$C23-$D23-$E23)</f>
        <v>1</v>
      </c>
      <c r="G23" s="12" t="str">
        <f aca="false">IF($A23="","",IF($F23&lt;=0,"TÜKENDİ",IF($F23&lt;20,"KRİTİK","YETERLİ")))</f>
        <v>KRİTİK</v>
      </c>
    </row>
    <row r="24" customFormat="false" ht="15" hidden="false" customHeight="true" outlineLevel="0" collapsed="false">
      <c r="A24" s="7" t="s">
        <v>30</v>
      </c>
      <c r="B24" s="8" t="n">
        <v>2727</v>
      </c>
      <c r="C24" s="9" t="n">
        <f aca="false">IF($A24="","",SUMIF('Stok Giriş'!$B$3:$B$202,$A24,'Stok Giriş'!$C$3:$C$202))</f>
        <v>0</v>
      </c>
      <c r="D24" s="9" t="n">
        <f aca="false">IF($A24="","",SUMPRODUCT((Sipariş!$D$2:$AA$2=$A24)*Sipariş!$D$3:$AA$302))</f>
        <v>0</v>
      </c>
      <c r="E24" s="9" t="n">
        <f aca="false">IF($A24="","",SUMPRODUCT((Hediyelikler!$C$2:$Z$2=$A24)*Hediyelikler!$C$3:$Z$302))</f>
        <v>0</v>
      </c>
      <c r="F24" s="10" t="n">
        <f aca="false">IF($A24="","",N($B24)+$C24-$D24-$E24)</f>
        <v>2727</v>
      </c>
      <c r="G24" s="9" t="str">
        <f aca="false">IF($A24="","",IF($F24&lt;=0,"TÜKENDİ",IF($F24&lt;20,"KRİTİK","YETERLİ")))</f>
        <v>YETERLİ</v>
      </c>
    </row>
    <row r="25" customFormat="false" ht="15" hidden="false" customHeight="true" outlineLevel="0" collapsed="false">
      <c r="A25" s="7"/>
      <c r="B25" s="8"/>
      <c r="C25" s="12" t="str">
        <f aca="false">IF($A25="","",SUMIF('Stok Giriş'!$B$3:$B$202,$A25,'Stok Giriş'!$C$3:$C$202))</f>
        <v/>
      </c>
      <c r="D25" s="12" t="str">
        <f aca="false">IF($A25="","",SUMPRODUCT((Sipariş!$D$2:$AA$2=$A25)*Sipariş!$D$3:$AA$302))</f>
        <v/>
      </c>
      <c r="E25" s="12" t="str">
        <f aca="false">IF($A25="","",SUMPRODUCT((Hediyelikler!$C$2:$Z$2=$A25)*Hediyelikler!$C$3:$Z$302))</f>
        <v/>
      </c>
      <c r="F25" s="13" t="str">
        <f aca="false">IF($A25="","",N($B25)+$C25-$D25-$E25)</f>
        <v/>
      </c>
      <c r="G25" s="12" t="str">
        <f aca="false">IF($A25="","",IF($F25&lt;=0,"TÜKENDİ",IF($F25&lt;20,"KRİTİK","YETERLİ")))</f>
        <v/>
      </c>
    </row>
    <row r="26" customFormat="false" ht="15" hidden="false" customHeight="true" outlineLevel="0" collapsed="false">
      <c r="A26" s="7"/>
      <c r="B26" s="8"/>
      <c r="C26" s="9" t="str">
        <f aca="false">IF($A26="","",SUMIF('Stok Giriş'!$B$3:$B$202,$A26,'Stok Giriş'!$C$3:$C$202))</f>
        <v/>
      </c>
      <c r="D26" s="9" t="str">
        <f aca="false">IF($A26="","",SUMPRODUCT((Sipariş!$D$2:$AA$2=$A26)*Sipariş!$D$3:$AA$302))</f>
        <v/>
      </c>
      <c r="E26" s="9" t="str">
        <f aca="false">IF($A26="","",SUMPRODUCT((Hediyelikler!$C$2:$Z$2=$A26)*Hediyelikler!$C$3:$Z$302))</f>
        <v/>
      </c>
      <c r="F26" s="10" t="str">
        <f aca="false">IF($A26="","",N($B26)+$C26-$D26-$E26)</f>
        <v/>
      </c>
      <c r="G26" s="9" t="str">
        <f aca="false">IF($A26="","",IF($F26&lt;=0,"TÜKENDİ",IF($F26&lt;20,"KRİTİK","YETERLİ")))</f>
        <v/>
      </c>
    </row>
    <row r="27" customFormat="false" ht="15" hidden="false" customHeight="true" outlineLevel="0" collapsed="false">
      <c r="A27" s="7"/>
      <c r="B27" s="8"/>
      <c r="C27" s="12" t="str">
        <f aca="false">IF($A27="","",SUMIF('Stok Giriş'!$B$3:$B$202,$A27,'Stok Giriş'!$C$3:$C$202))</f>
        <v/>
      </c>
      <c r="D27" s="12" t="str">
        <f aca="false">IF($A27="","",SUMPRODUCT((Sipariş!$D$2:$AA$2=$A27)*Sipariş!$D$3:$AA$302))</f>
        <v/>
      </c>
      <c r="E27" s="12" t="str">
        <f aca="false">IF($A27="","",SUMPRODUCT((Hediyelikler!$C$2:$Z$2=$A27)*Hediyelikler!$C$3:$Z$302))</f>
        <v/>
      </c>
      <c r="F27" s="13" t="str">
        <f aca="false">IF($A27="","",N($B27)+$C27-$D27-$E27)</f>
        <v/>
      </c>
      <c r="G27" s="12" t="str">
        <f aca="false">IF($A27="","",IF($F27&lt;=0,"TÜKENDİ",IF($F27&lt;20,"KRİTİK","YETERLİ")))</f>
        <v/>
      </c>
    </row>
    <row r="28" customFormat="false" ht="15" hidden="false" customHeight="true" outlineLevel="0" collapsed="false">
      <c r="A28" s="7"/>
      <c r="B28" s="8"/>
      <c r="C28" s="9" t="str">
        <f aca="false">IF($A28="","",SUMIF('Stok Giriş'!$B$3:$B$202,$A28,'Stok Giriş'!$C$3:$C$202))</f>
        <v/>
      </c>
      <c r="D28" s="9" t="str">
        <f aca="false">IF($A28="","",SUMPRODUCT((Sipariş!$D$2:$AA$2=$A28)*Sipariş!$D$3:$AA$302))</f>
        <v/>
      </c>
      <c r="E28" s="9" t="str">
        <f aca="false">IF($A28="","",SUMPRODUCT((Hediyelikler!$C$2:$Z$2=$A28)*Hediyelikler!$C$3:$Z$302))</f>
        <v/>
      </c>
      <c r="F28" s="10" t="str">
        <f aca="false">IF($A28="","",N($B28)+$C28-$D28-$E28)</f>
        <v/>
      </c>
      <c r="G28" s="9" t="str">
        <f aca="false">IF($A28="","",IF($F28&lt;=0,"TÜKENDİ",IF($F28&lt;20,"KRİTİK","YETERLİ")))</f>
        <v/>
      </c>
    </row>
    <row r="29" customFormat="false" ht="15" hidden="false" customHeight="true" outlineLevel="0" collapsed="false">
      <c r="A29" s="7"/>
      <c r="B29" s="8"/>
      <c r="C29" s="12" t="str">
        <f aca="false">IF($A29="","",SUMIF('Stok Giriş'!$B$3:$B$202,$A29,'Stok Giriş'!$C$3:$C$202))</f>
        <v/>
      </c>
      <c r="D29" s="12" t="str">
        <f aca="false">IF($A29="","",SUMPRODUCT((Sipariş!$D$2:$AA$2=$A29)*Sipariş!$D$3:$AA$302))</f>
        <v/>
      </c>
      <c r="E29" s="12" t="str">
        <f aca="false">IF($A29="","",SUMPRODUCT((Hediyelikler!$C$2:$Z$2=$A29)*Hediyelikler!$C$3:$Z$302))</f>
        <v/>
      </c>
      <c r="F29" s="13" t="str">
        <f aca="false">IF($A29="","",N($B29)+$C29-$D29-$E29)</f>
        <v/>
      </c>
      <c r="G29" s="12" t="str">
        <f aca="false">IF($A29="","",IF($F29&lt;=0,"TÜKENDİ",IF($F29&lt;20,"KRİTİK","YETERLİ")))</f>
        <v/>
      </c>
    </row>
    <row r="30" customFormat="false" ht="15" hidden="false" customHeight="true" outlineLevel="0" collapsed="false">
      <c r="A30" s="7"/>
      <c r="B30" s="8"/>
      <c r="C30" s="9" t="str">
        <f aca="false">IF($A30="","",SUMIF('Stok Giriş'!$B$3:$B$202,$A30,'Stok Giriş'!$C$3:$C$202))</f>
        <v/>
      </c>
      <c r="D30" s="9" t="str">
        <f aca="false">IF($A30="","",SUMPRODUCT((Sipariş!$D$2:$AA$2=$A30)*Sipariş!$D$3:$AA$302))</f>
        <v/>
      </c>
      <c r="E30" s="9" t="str">
        <f aca="false">IF($A30="","",SUMPRODUCT((Hediyelikler!$C$2:$Z$2=$A30)*Hediyelikler!$C$3:$Z$302))</f>
        <v/>
      </c>
      <c r="F30" s="10" t="str">
        <f aca="false">IF($A30="","",N($B30)+$C30-$D30-$E30)</f>
        <v/>
      </c>
      <c r="G30" s="9" t="str">
        <f aca="false">IF($A30="","",IF($F30&lt;=0,"TÜKENDİ",IF($F30&lt;20,"KRİTİK","YETERLİ")))</f>
        <v/>
      </c>
    </row>
    <row r="31" customFormat="false" ht="15" hidden="false" customHeight="true" outlineLevel="0" collapsed="false">
      <c r="A31" s="7"/>
      <c r="B31" s="8"/>
      <c r="C31" s="12" t="str">
        <f aca="false">IF($A31="","",SUMIF('Stok Giriş'!$B$3:$B$202,$A31,'Stok Giriş'!$C$3:$C$202))</f>
        <v/>
      </c>
      <c r="D31" s="12" t="str">
        <f aca="false">IF($A31="","",SUMPRODUCT((Sipariş!$D$2:$AA$2=$A31)*Sipariş!$D$3:$AA$302))</f>
        <v/>
      </c>
      <c r="E31" s="12" t="str">
        <f aca="false">IF($A31="","",SUMPRODUCT((Hediyelikler!$C$2:$Z$2=$A31)*Hediyelikler!$C$3:$Z$302))</f>
        <v/>
      </c>
      <c r="F31" s="13" t="str">
        <f aca="false">IF($A31="","",N($B31)+$C31-$D31-$E31)</f>
        <v/>
      </c>
      <c r="G31" s="12" t="str">
        <f aca="false">IF($A31="","",IF($F31&lt;=0,"TÜKENDİ",IF($F31&lt;20,"KRİTİK","YETERLİ")))</f>
        <v/>
      </c>
    </row>
    <row r="32" customFormat="false" ht="15" hidden="false" customHeight="true" outlineLevel="0" collapsed="false">
      <c r="A32" s="7"/>
      <c r="B32" s="8"/>
      <c r="C32" s="9" t="str">
        <f aca="false">IF($A32="","",SUMIF('Stok Giriş'!$B$3:$B$202,$A32,'Stok Giriş'!$C$3:$C$202))</f>
        <v/>
      </c>
      <c r="D32" s="9" t="str">
        <f aca="false">IF($A32="","",SUMPRODUCT((Sipariş!$D$2:$AA$2=$A32)*Sipariş!$D$3:$AA$302))</f>
        <v/>
      </c>
      <c r="E32" s="9" t="str">
        <f aca="false">IF($A32="","",SUMPRODUCT((Hediyelikler!$C$2:$Z$2=$A32)*Hediyelikler!$C$3:$Z$302))</f>
        <v/>
      </c>
      <c r="F32" s="10" t="str">
        <f aca="false">IF($A32="","",N($B32)+$C32-$D32-$E32)</f>
        <v/>
      </c>
      <c r="G32" s="9" t="str">
        <f aca="false">IF($A32="","",IF($F32&lt;=0,"TÜKENDİ",IF($F32&lt;20,"KRİTİK","YETERLİ")))</f>
        <v/>
      </c>
    </row>
    <row r="33" customFormat="false" ht="15" hidden="false" customHeight="true" outlineLevel="0" collapsed="false">
      <c r="A33" s="7"/>
      <c r="B33" s="8"/>
      <c r="C33" s="12" t="str">
        <f aca="false">IF($A33="","",SUMIF('Stok Giriş'!$B$3:$B$202,$A33,'Stok Giriş'!$C$3:$C$202))</f>
        <v/>
      </c>
      <c r="D33" s="12" t="str">
        <f aca="false">IF($A33="","",SUMPRODUCT((Sipariş!$D$2:$AA$2=$A33)*Sipariş!$D$3:$AA$302))</f>
        <v/>
      </c>
      <c r="E33" s="12" t="str">
        <f aca="false">IF($A33="","",SUMPRODUCT((Hediyelikler!$C$2:$Z$2=$A33)*Hediyelikler!$C$3:$Z$302))</f>
        <v/>
      </c>
      <c r="F33" s="13" t="str">
        <f aca="false">IF($A33="","",N($B33)+$C33-$D33-$E33)</f>
        <v/>
      </c>
      <c r="G33" s="12" t="str">
        <f aca="false">IF($A33="","",IF($F33&lt;=0,"TÜKENDİ",IF($F33&lt;20,"KRİTİK","YETERLİ")))</f>
        <v/>
      </c>
    </row>
    <row r="34" customFormat="false" ht="15" hidden="false" customHeight="true" outlineLevel="0" collapsed="false">
      <c r="A34" s="7"/>
      <c r="B34" s="8"/>
      <c r="C34" s="9" t="str">
        <f aca="false">IF($A34="","",SUMIF('Stok Giriş'!$B$3:$B$202,$A34,'Stok Giriş'!$C$3:$C$202))</f>
        <v/>
      </c>
      <c r="D34" s="9" t="str">
        <f aca="false">IF($A34="","",SUMPRODUCT((Sipariş!$D$2:$AA$2=$A34)*Sipariş!$D$3:$AA$302))</f>
        <v/>
      </c>
      <c r="E34" s="9" t="str">
        <f aca="false">IF($A34="","",SUMPRODUCT((Hediyelikler!$C$2:$Z$2=$A34)*Hediyelikler!$C$3:$Z$302))</f>
        <v/>
      </c>
      <c r="F34" s="10" t="str">
        <f aca="false">IF($A34="","",N($B34)+$C34-$D34-$E34)</f>
        <v/>
      </c>
      <c r="G34" s="9" t="str">
        <f aca="false">IF($A34="","",IF($F34&lt;=0,"TÜKENDİ",IF($F34&lt;20,"KRİTİK","YETERLİ")))</f>
        <v/>
      </c>
    </row>
    <row r="35" customFormat="false" ht="15" hidden="false" customHeight="true" outlineLevel="0" collapsed="false">
      <c r="A35" s="7"/>
      <c r="B35" s="8"/>
      <c r="C35" s="12" t="str">
        <f aca="false">IF($A35="","",SUMIF('Stok Giriş'!$B$3:$B$202,$A35,'Stok Giriş'!$C$3:$C$202))</f>
        <v/>
      </c>
      <c r="D35" s="12" t="str">
        <f aca="false">IF($A35="","",SUMPRODUCT((Sipariş!$D$2:$AA$2=$A35)*Sipariş!$D$3:$AA$302))</f>
        <v/>
      </c>
      <c r="E35" s="12" t="str">
        <f aca="false">IF($A35="","",SUMPRODUCT((Hediyelikler!$C$2:$Z$2=$A35)*Hediyelikler!$C$3:$Z$302))</f>
        <v/>
      </c>
      <c r="F35" s="13" t="str">
        <f aca="false">IF($A35="","",N($B35)+$C35-$D35-$E35)</f>
        <v/>
      </c>
      <c r="G35" s="12" t="str">
        <f aca="false">IF($A35="","",IF($F35&lt;=0,"TÜKENDİ",IF($F35&lt;20,"KRİTİK","YETERLİ")))</f>
        <v/>
      </c>
    </row>
    <row r="36" customFormat="false" ht="15" hidden="false" customHeight="true" outlineLevel="0" collapsed="false">
      <c r="A36" s="7"/>
      <c r="B36" s="8"/>
      <c r="C36" s="9" t="str">
        <f aca="false">IF($A36="","",SUMIF('Stok Giriş'!$B$3:$B$202,$A36,'Stok Giriş'!$C$3:$C$202))</f>
        <v/>
      </c>
      <c r="D36" s="9" t="str">
        <f aca="false">IF($A36="","",SUMPRODUCT((Sipariş!$D$2:$AA$2=$A36)*Sipariş!$D$3:$AA$302))</f>
        <v/>
      </c>
      <c r="E36" s="9" t="str">
        <f aca="false">IF($A36="","",SUMPRODUCT((Hediyelikler!$C$2:$Z$2=$A36)*Hediyelikler!$C$3:$Z$302))</f>
        <v/>
      </c>
      <c r="F36" s="10" t="str">
        <f aca="false">IF($A36="","",N($B36)+$C36-$D36-$E36)</f>
        <v/>
      </c>
      <c r="G36" s="9" t="str">
        <f aca="false">IF($A36="","",IF($F36&lt;=0,"TÜKENDİ",IF($F36&lt;20,"KRİTİK","YETERLİ")))</f>
        <v/>
      </c>
    </row>
    <row r="37" customFormat="false" ht="15" hidden="false" customHeight="true" outlineLevel="0" collapsed="false">
      <c r="A37" s="7"/>
      <c r="B37" s="8"/>
      <c r="C37" s="12" t="str">
        <f aca="false">IF($A37="","",SUMIF('Stok Giriş'!$B$3:$B$202,$A37,'Stok Giriş'!$C$3:$C$202))</f>
        <v/>
      </c>
      <c r="D37" s="12" t="str">
        <f aca="false">IF($A37="","",SUMPRODUCT((Sipariş!$D$2:$AA$2=$A37)*Sipariş!$D$3:$AA$302))</f>
        <v/>
      </c>
      <c r="E37" s="12" t="str">
        <f aca="false">IF($A37="","",SUMPRODUCT((Hediyelikler!$C$2:$Z$2=$A37)*Hediyelikler!$C$3:$Z$302))</f>
        <v/>
      </c>
      <c r="F37" s="13" t="str">
        <f aca="false">IF($A37="","",N($B37)+$C37-$D37-$E37)</f>
        <v/>
      </c>
      <c r="G37" s="12" t="str">
        <f aca="false">IF($A37="","",IF($F37&lt;=0,"TÜKENDİ",IF($F37&lt;20,"KRİTİK","YETERLİ")))</f>
        <v/>
      </c>
    </row>
    <row r="38" customFormat="false" ht="15" hidden="false" customHeight="true" outlineLevel="0" collapsed="false">
      <c r="A38" s="7"/>
      <c r="B38" s="8"/>
      <c r="C38" s="9" t="str">
        <f aca="false">IF($A38="","",SUMIF('Stok Giriş'!$B$3:$B$202,$A38,'Stok Giriş'!$C$3:$C$202))</f>
        <v/>
      </c>
      <c r="D38" s="9" t="str">
        <f aca="false">IF($A38="","",SUMPRODUCT((Sipariş!$D$2:$AA$2=$A38)*Sipariş!$D$3:$AA$302))</f>
        <v/>
      </c>
      <c r="E38" s="9" t="str">
        <f aca="false">IF($A38="","",SUMPRODUCT((Hediyelikler!$C$2:$Z$2=$A38)*Hediyelikler!$C$3:$Z$302))</f>
        <v/>
      </c>
      <c r="F38" s="10" t="str">
        <f aca="false">IF($A38="","",N($B38)+$C38-$D38-$E38)</f>
        <v/>
      </c>
      <c r="G38" s="9" t="str">
        <f aca="false">IF($A38="","",IF($F38&lt;=0,"TÜKENDİ",IF($F38&lt;20,"KRİTİK","YETERLİ")))</f>
        <v/>
      </c>
    </row>
    <row r="39" customFormat="false" ht="15" hidden="false" customHeight="true" outlineLevel="0" collapsed="false">
      <c r="A39" s="7"/>
      <c r="B39" s="8"/>
      <c r="C39" s="12" t="str">
        <f aca="false">IF($A39="","",SUMIF('Stok Giriş'!$B$3:$B$202,$A39,'Stok Giriş'!$C$3:$C$202))</f>
        <v/>
      </c>
      <c r="D39" s="12" t="str">
        <f aca="false">IF($A39="","",SUMPRODUCT((Sipariş!$D$2:$AA$2=$A39)*Sipariş!$D$3:$AA$302))</f>
        <v/>
      </c>
      <c r="E39" s="12" t="str">
        <f aca="false">IF($A39="","",SUMPRODUCT((Hediyelikler!$C$2:$Z$2=$A39)*Hediyelikler!$C$3:$Z$302))</f>
        <v/>
      </c>
      <c r="F39" s="13" t="str">
        <f aca="false">IF($A39="","",N($B39)+$C39-$D39-$E39)</f>
        <v/>
      </c>
      <c r="G39" s="12" t="str">
        <f aca="false">IF($A39="","",IF($F39&lt;=0,"TÜKENDİ",IF($F39&lt;20,"KRİTİK","YETERLİ")))</f>
        <v/>
      </c>
    </row>
    <row r="40" customFormat="false" ht="15" hidden="false" customHeight="true" outlineLevel="0" collapsed="false">
      <c r="A40" s="7"/>
      <c r="B40" s="8"/>
      <c r="C40" s="9" t="str">
        <f aca="false">IF($A40="","",SUMIF('Stok Giriş'!$B$3:$B$202,$A40,'Stok Giriş'!$C$3:$C$202))</f>
        <v/>
      </c>
      <c r="D40" s="9" t="str">
        <f aca="false">IF($A40="","",SUMPRODUCT((Sipariş!$D$2:$AA$2=$A40)*Sipariş!$D$3:$AA$302))</f>
        <v/>
      </c>
      <c r="E40" s="9" t="str">
        <f aca="false">IF($A40="","",SUMPRODUCT((Hediyelikler!$C$2:$Z$2=$A40)*Hediyelikler!$C$3:$Z$302))</f>
        <v/>
      </c>
      <c r="F40" s="10" t="str">
        <f aca="false">IF($A40="","",N($B40)+$C40-$D40-$E40)</f>
        <v/>
      </c>
      <c r="G40" s="9" t="str">
        <f aca="false">IF($A40="","",IF($F40&lt;=0,"TÜKENDİ",IF($F40&lt;20,"KRİTİK","YETERLİ")))</f>
        <v/>
      </c>
    </row>
    <row r="41" customFormat="false" ht="15" hidden="false" customHeight="true" outlineLevel="0" collapsed="false">
      <c r="A41" s="7"/>
      <c r="B41" s="8"/>
      <c r="C41" s="12" t="str">
        <f aca="false">IF($A41="","",SUMIF('Stok Giriş'!$B$3:$B$202,$A41,'Stok Giriş'!$C$3:$C$202))</f>
        <v/>
      </c>
      <c r="D41" s="12" t="str">
        <f aca="false">IF($A41="","",SUMPRODUCT((Sipariş!$D$2:$AA$2=$A41)*Sipariş!$D$3:$AA$302))</f>
        <v/>
      </c>
      <c r="E41" s="12" t="str">
        <f aca="false">IF($A41="","",SUMPRODUCT((Hediyelikler!$C$2:$Z$2=$A41)*Hediyelikler!$C$3:$Z$302))</f>
        <v/>
      </c>
      <c r="F41" s="13" t="str">
        <f aca="false">IF($A41="","",N($B41)+$C41-$D41-$E41)</f>
        <v/>
      </c>
      <c r="G41" s="12" t="str">
        <f aca="false">IF($A41="","",IF($F41&lt;=0,"TÜKENDİ",IF($F41&lt;20,"KRİTİK","YETERLİ")))</f>
        <v/>
      </c>
    </row>
    <row r="42" customFormat="false" ht="15" hidden="false" customHeight="true" outlineLevel="0" collapsed="false">
      <c r="A42" s="7"/>
      <c r="B42" s="8"/>
      <c r="C42" s="9" t="str">
        <f aca="false">IF($A42="","",SUMIF('Stok Giriş'!$B$3:$B$202,$A42,'Stok Giriş'!$C$3:$C$202))</f>
        <v/>
      </c>
      <c r="D42" s="9" t="str">
        <f aca="false">IF($A42="","",SUMPRODUCT((Sipariş!$D$2:$AA$2=$A42)*Sipariş!$D$3:$AA$302))</f>
        <v/>
      </c>
      <c r="E42" s="9" t="str">
        <f aca="false">IF($A42="","",SUMPRODUCT((Hediyelikler!$C$2:$Z$2=$A42)*Hediyelikler!$C$3:$Z$302))</f>
        <v/>
      </c>
      <c r="F42" s="10" t="str">
        <f aca="false">IF($A42="","",N($B42)+$C42-$D42-$E42)</f>
        <v/>
      </c>
      <c r="G42" s="9" t="str">
        <f aca="false">IF($A42="","",IF($F42&lt;=0,"TÜKENDİ",IF($F42&lt;20,"KRİTİK","YETERLİ")))</f>
        <v/>
      </c>
    </row>
    <row r="43" customFormat="false" ht="15" hidden="false" customHeight="true" outlineLevel="0" collapsed="false">
      <c r="A43" s="7"/>
      <c r="B43" s="8"/>
      <c r="C43" s="12" t="str">
        <f aca="false">IF($A43="","",SUMIF('Stok Giriş'!$B$3:$B$202,$A43,'Stok Giriş'!$C$3:$C$202))</f>
        <v/>
      </c>
      <c r="D43" s="12" t="str">
        <f aca="false">IF($A43="","",SUMPRODUCT((Sipariş!$D$2:$AA$2=$A43)*Sipariş!$D$3:$AA$302))</f>
        <v/>
      </c>
      <c r="E43" s="12" t="str">
        <f aca="false">IF($A43="","",SUMPRODUCT((Hediyelikler!$C$2:$Z$2=$A43)*Hediyelikler!$C$3:$Z$302))</f>
        <v/>
      </c>
      <c r="F43" s="13" t="str">
        <f aca="false">IF($A43="","",N($B43)+$C43-$D43-$E43)</f>
        <v/>
      </c>
      <c r="G43" s="12" t="str">
        <f aca="false">IF($A43="","",IF($F43&lt;=0,"TÜKENDİ",IF($F43&lt;20,"KRİTİK","YETERLİ")))</f>
        <v/>
      </c>
    </row>
    <row r="44" customFormat="false" ht="15" hidden="false" customHeight="true" outlineLevel="0" collapsed="false">
      <c r="A44" s="7"/>
      <c r="B44" s="8"/>
      <c r="C44" s="9" t="str">
        <f aca="false">IF($A44="","",SUMIF('Stok Giriş'!$B$3:$B$202,$A44,'Stok Giriş'!$C$3:$C$202))</f>
        <v/>
      </c>
      <c r="D44" s="9" t="str">
        <f aca="false">IF($A44="","",SUMPRODUCT((Sipariş!$D$2:$AA$2=$A44)*Sipariş!$D$3:$AA$302))</f>
        <v/>
      </c>
      <c r="E44" s="9" t="str">
        <f aca="false">IF($A44="","",SUMPRODUCT((Hediyelikler!$C$2:$Z$2=$A44)*Hediyelikler!$C$3:$Z$302))</f>
        <v/>
      </c>
      <c r="F44" s="10" t="str">
        <f aca="false">IF($A44="","",N($B44)+$C44-$D44-$E44)</f>
        <v/>
      </c>
      <c r="G44" s="9" t="str">
        <f aca="false">IF($A44="","",IF($F44&lt;=0,"TÜKENDİ",IF($F44&lt;20,"KRİTİK","YETERLİ")))</f>
        <v/>
      </c>
    </row>
    <row r="45" customFormat="false" ht="15" hidden="false" customHeight="true" outlineLevel="0" collapsed="false">
      <c r="A45" s="7"/>
      <c r="B45" s="8"/>
      <c r="C45" s="12" t="str">
        <f aca="false">IF($A45="","",SUMIF('Stok Giriş'!$B$3:$B$202,$A45,'Stok Giriş'!$C$3:$C$202))</f>
        <v/>
      </c>
      <c r="D45" s="12" t="str">
        <f aca="false">IF($A45="","",SUMPRODUCT((Sipariş!$D$2:$AA$2=$A45)*Sipariş!$D$3:$AA$302))</f>
        <v/>
      </c>
      <c r="E45" s="12" t="str">
        <f aca="false">IF($A45="","",SUMPRODUCT((Hediyelikler!$C$2:$Z$2=$A45)*Hediyelikler!$C$3:$Z$302))</f>
        <v/>
      </c>
      <c r="F45" s="13" t="str">
        <f aca="false">IF($A45="","",N($B45)+$C45-$D45-$E45)</f>
        <v/>
      </c>
      <c r="G45" s="12" t="str">
        <f aca="false">IF($A45="","",IF($F45&lt;=0,"TÜKENDİ",IF($F45&lt;20,"KRİTİK","YETERLİ")))</f>
        <v/>
      </c>
    </row>
    <row r="46" customFormat="false" ht="15" hidden="false" customHeight="true" outlineLevel="0" collapsed="false">
      <c r="A46" s="7"/>
      <c r="B46" s="8"/>
      <c r="C46" s="9" t="str">
        <f aca="false">IF($A46="","",SUMIF('Stok Giriş'!$B$3:$B$202,$A46,'Stok Giriş'!$C$3:$C$202))</f>
        <v/>
      </c>
      <c r="D46" s="9" t="str">
        <f aca="false">IF($A46="","",SUMPRODUCT((Sipariş!$D$2:$AA$2=$A46)*Sipariş!$D$3:$AA$302))</f>
        <v/>
      </c>
      <c r="E46" s="9" t="str">
        <f aca="false">IF($A46="","",SUMPRODUCT((Hediyelikler!$C$2:$Z$2=$A46)*Hediyelikler!$C$3:$Z$302))</f>
        <v/>
      </c>
      <c r="F46" s="10" t="str">
        <f aca="false">IF($A46="","",N($B46)+$C46-$D46-$E46)</f>
        <v/>
      </c>
      <c r="G46" s="9" t="str">
        <f aca="false">IF($A46="","",IF($F46&lt;=0,"TÜKENDİ",IF($F46&lt;20,"KRİTİK","YETERLİ")))</f>
        <v/>
      </c>
    </row>
    <row r="47" customFormat="false" ht="15" hidden="false" customHeight="true" outlineLevel="0" collapsed="false">
      <c r="A47" s="7"/>
      <c r="B47" s="8"/>
      <c r="C47" s="12" t="str">
        <f aca="false">IF($A47="","",SUMIF('Stok Giriş'!$B$3:$B$202,$A47,'Stok Giriş'!$C$3:$C$202))</f>
        <v/>
      </c>
      <c r="D47" s="12" t="str">
        <f aca="false">IF($A47="","",SUMPRODUCT((Sipariş!$D$2:$AA$2=$A47)*Sipariş!$D$3:$AA$302))</f>
        <v/>
      </c>
      <c r="E47" s="12" t="str">
        <f aca="false">IF($A47="","",SUMPRODUCT((Hediyelikler!$C$2:$Z$2=$A47)*Hediyelikler!$C$3:$Z$302))</f>
        <v/>
      </c>
      <c r="F47" s="13" t="str">
        <f aca="false">IF($A47="","",N($B47)+$C47-$D47-$E47)</f>
        <v/>
      </c>
      <c r="G47" s="12" t="str">
        <f aca="false">IF($A47="","",IF($F47&lt;=0,"TÜKENDİ",IF($F47&lt;20,"KRİTİK","YETERLİ")))</f>
        <v/>
      </c>
    </row>
    <row r="48" customFormat="false" ht="15" hidden="false" customHeight="true" outlineLevel="0" collapsed="false">
      <c r="A48" s="7"/>
      <c r="B48" s="8"/>
      <c r="C48" s="9" t="str">
        <f aca="false">IF($A48="","",SUMIF('Stok Giriş'!$B$3:$B$202,$A48,'Stok Giriş'!$C$3:$C$202))</f>
        <v/>
      </c>
      <c r="D48" s="9" t="str">
        <f aca="false">IF($A48="","",SUMPRODUCT((Sipariş!$D$2:$AA$2=$A48)*Sipariş!$D$3:$AA$302))</f>
        <v/>
      </c>
      <c r="E48" s="9" t="str">
        <f aca="false">IF($A48="","",SUMPRODUCT((Hediyelikler!$C$2:$Z$2=$A48)*Hediyelikler!$C$3:$Z$302))</f>
        <v/>
      </c>
      <c r="F48" s="10" t="str">
        <f aca="false">IF($A48="","",N($B48)+$C48-$D48-$E48)</f>
        <v/>
      </c>
      <c r="G48" s="9" t="str">
        <f aca="false">IF($A48="","",IF($F48&lt;=0,"TÜKENDİ",IF($F48&lt;20,"KRİTİK","YETERLİ")))</f>
        <v/>
      </c>
    </row>
    <row r="49" customFormat="false" ht="15" hidden="false" customHeight="true" outlineLevel="0" collapsed="false">
      <c r="A49" s="7"/>
      <c r="B49" s="8"/>
      <c r="C49" s="12" t="str">
        <f aca="false">IF($A49="","",SUMIF('Stok Giriş'!$B$3:$B$202,$A49,'Stok Giriş'!$C$3:$C$202))</f>
        <v/>
      </c>
      <c r="D49" s="12" t="str">
        <f aca="false">IF($A49="","",SUMPRODUCT((Sipariş!$D$2:$AA$2=$A49)*Sipariş!$D$3:$AA$302))</f>
        <v/>
      </c>
      <c r="E49" s="12" t="str">
        <f aca="false">IF($A49="","",SUMPRODUCT((Hediyelikler!$C$2:$Z$2=$A49)*Hediyelikler!$C$3:$Z$302))</f>
        <v/>
      </c>
      <c r="F49" s="13" t="str">
        <f aca="false">IF($A49="","",N($B49)+$C49-$D49-$E49)</f>
        <v/>
      </c>
      <c r="G49" s="12" t="str">
        <f aca="false">IF($A49="","",IF($F49&lt;=0,"TÜKENDİ",IF($F49&lt;20,"KRİTİK","YETERLİ")))</f>
        <v/>
      </c>
    </row>
    <row r="50" customFormat="false" ht="15" hidden="false" customHeight="true" outlineLevel="0" collapsed="false">
      <c r="A50" s="7"/>
      <c r="B50" s="8"/>
      <c r="C50" s="9" t="str">
        <f aca="false">IF($A50="","",SUMIF('Stok Giriş'!$B$3:$B$202,$A50,'Stok Giriş'!$C$3:$C$202))</f>
        <v/>
      </c>
      <c r="D50" s="9" t="str">
        <f aca="false">IF($A50="","",SUMPRODUCT((Sipariş!$D$2:$AA$2=$A50)*Sipariş!$D$3:$AA$302))</f>
        <v/>
      </c>
      <c r="E50" s="9" t="str">
        <f aca="false">IF($A50="","",SUMPRODUCT((Hediyelikler!$C$2:$Z$2=$A50)*Hediyelikler!$C$3:$Z$302))</f>
        <v/>
      </c>
      <c r="F50" s="10" t="str">
        <f aca="false">IF($A50="","",N($B50)+$C50-$D50-$E50)</f>
        <v/>
      </c>
      <c r="G50" s="9" t="str">
        <f aca="false">IF($A50="","",IF($F50&lt;=0,"TÜKENDİ",IF($F50&lt;20,"KRİTİK","YETERLİ")))</f>
        <v/>
      </c>
    </row>
    <row r="51" customFormat="false" ht="15" hidden="false" customHeight="true" outlineLevel="0" collapsed="false">
      <c r="A51" s="7"/>
      <c r="B51" s="8"/>
      <c r="C51" s="12" t="str">
        <f aca="false">IF($A51="","",SUMIF('Stok Giriş'!$B$3:$B$202,$A51,'Stok Giriş'!$C$3:$C$202))</f>
        <v/>
      </c>
      <c r="D51" s="12" t="str">
        <f aca="false">IF($A51="","",SUMPRODUCT((Sipariş!$D$2:$AA$2=$A51)*Sipariş!$D$3:$AA$302))</f>
        <v/>
      </c>
      <c r="E51" s="12" t="str">
        <f aca="false">IF($A51="","",SUMPRODUCT((Hediyelikler!$C$2:$Z$2=$A51)*Hediyelikler!$C$3:$Z$302))</f>
        <v/>
      </c>
      <c r="F51" s="13" t="str">
        <f aca="false">IF($A51="","",N($B51)+$C51-$D51-$E51)</f>
        <v/>
      </c>
      <c r="G51" s="12" t="str">
        <f aca="false">IF($A51="","",IF($F51&lt;=0,"TÜKENDİ",IF($F51&lt;20,"KRİTİK","YETERLİ")))</f>
        <v/>
      </c>
    </row>
    <row r="52" customFormat="false" ht="15" hidden="false" customHeight="true" outlineLevel="0" collapsed="false">
      <c r="A52" s="7"/>
      <c r="B52" s="8"/>
      <c r="C52" s="9" t="str">
        <f aca="false">IF($A52="","",SUMIF('Stok Giriş'!$B$3:$B$202,$A52,'Stok Giriş'!$C$3:$C$202))</f>
        <v/>
      </c>
      <c r="D52" s="9" t="str">
        <f aca="false">IF($A52="","",SUMPRODUCT((Sipariş!$D$2:$AA$2=$A52)*Sipariş!$D$3:$AA$302))</f>
        <v/>
      </c>
      <c r="E52" s="9" t="str">
        <f aca="false">IF($A52="","",SUMPRODUCT((Hediyelikler!$C$2:$Z$2=$A52)*Hediyelikler!$C$3:$Z$302))</f>
        <v/>
      </c>
      <c r="F52" s="10" t="str">
        <f aca="false">IF($A52="","",N($B52)+$C52-$D52-$E52)</f>
        <v/>
      </c>
      <c r="G52" s="9" t="str">
        <f aca="false">IF($A52="","",IF($F52&lt;=0,"TÜKENDİ",IF($F52&lt;20,"KRİTİK","YETERLİ")))</f>
        <v/>
      </c>
    </row>
    <row r="53" customFormat="false" ht="15" hidden="false" customHeight="true" outlineLevel="0" collapsed="false">
      <c r="A53" s="7"/>
      <c r="B53" s="8"/>
      <c r="C53" s="12" t="str">
        <f aca="false">IF($A53="","",SUMIF('Stok Giriş'!$B$3:$B$202,$A53,'Stok Giriş'!$C$3:$C$202))</f>
        <v/>
      </c>
      <c r="D53" s="12" t="str">
        <f aca="false">IF($A53="","",SUMPRODUCT((Sipariş!$D$2:$AA$2=$A53)*Sipariş!$D$3:$AA$302))</f>
        <v/>
      </c>
      <c r="E53" s="12" t="str">
        <f aca="false">IF($A53="","",SUMPRODUCT((Hediyelikler!$C$2:$Z$2=$A53)*Hediyelikler!$C$3:$Z$302))</f>
        <v/>
      </c>
      <c r="F53" s="13" t="str">
        <f aca="false">IF($A53="","",N($B53)+$C53-$D53-$E53)</f>
        <v/>
      </c>
      <c r="G53" s="12" t="str">
        <f aca="false">IF($A53="","",IF($F53&lt;=0,"TÜKENDİ",IF($F53&lt;20,"KRİTİK","YETERLİ")))</f>
        <v/>
      </c>
    </row>
    <row r="54" customFormat="false" ht="15" hidden="false" customHeight="true" outlineLevel="0" collapsed="false">
      <c r="A54" s="7"/>
      <c r="B54" s="8"/>
      <c r="C54" s="9" t="str">
        <f aca="false">IF($A54="","",SUMIF('Stok Giriş'!$B$3:$B$202,$A54,'Stok Giriş'!$C$3:$C$202))</f>
        <v/>
      </c>
      <c r="D54" s="9" t="str">
        <f aca="false">IF($A54="","",SUMPRODUCT((Sipariş!$D$2:$AA$2=$A54)*Sipariş!$D$3:$AA$302))</f>
        <v/>
      </c>
      <c r="E54" s="9" t="str">
        <f aca="false">IF($A54="","",SUMPRODUCT((Hediyelikler!$C$2:$Z$2=$A54)*Hediyelikler!$C$3:$Z$302))</f>
        <v/>
      </c>
      <c r="F54" s="10" t="str">
        <f aca="false">IF($A54="","",N($B54)+$C54-$D54-$E54)</f>
        <v/>
      </c>
      <c r="G54" s="9" t="str">
        <f aca="false">IF($A54="","",IF($F54&lt;=0,"TÜKENDİ",IF($F54&lt;20,"KRİTİK","YETERLİ")))</f>
        <v/>
      </c>
    </row>
    <row r="55" customFormat="false" ht="15" hidden="false" customHeight="true" outlineLevel="0" collapsed="false">
      <c r="A55" s="7"/>
      <c r="B55" s="8"/>
      <c r="C55" s="12" t="str">
        <f aca="false">IF($A55="","",SUMIF('Stok Giriş'!$B$3:$B$202,$A55,'Stok Giriş'!$C$3:$C$202))</f>
        <v/>
      </c>
      <c r="D55" s="12" t="str">
        <f aca="false">IF($A55="","",SUMPRODUCT((Sipariş!$D$2:$AA$2=$A55)*Sipariş!$D$3:$AA$302))</f>
        <v/>
      </c>
      <c r="E55" s="12" t="str">
        <f aca="false">IF($A55="","",SUMPRODUCT((Hediyelikler!$C$2:$Z$2=$A55)*Hediyelikler!$C$3:$Z$302))</f>
        <v/>
      </c>
      <c r="F55" s="13" t="str">
        <f aca="false">IF($A55="","",N($B55)+$C55-$D55-$E55)</f>
        <v/>
      </c>
      <c r="G55" s="12" t="str">
        <f aca="false">IF($A55="","",IF($F55&lt;=0,"TÜKENDİ",IF($F55&lt;20,"KRİTİK","YETERLİ")))</f>
        <v/>
      </c>
    </row>
  </sheetData>
  <mergeCells count="10">
    <mergeCell ref="A1:J1"/>
    <mergeCell ref="A2:J2"/>
    <mergeCell ref="I5:J5"/>
    <mergeCell ref="I6:J6"/>
    <mergeCell ref="I8:J8"/>
    <mergeCell ref="I9:J9"/>
    <mergeCell ref="I11:J11"/>
    <mergeCell ref="I12:J12"/>
    <mergeCell ref="I14:J14"/>
    <mergeCell ref="I15:J15"/>
  </mergeCells>
  <conditionalFormatting sqref="F6:G55">
    <cfRule type="expression" priority="2" aboveAverage="0" equalAverage="0" bottom="0" percent="0" rank="0" text="" dxfId="0">
      <formula>$G6="TÜKENDİ"</formula>
    </cfRule>
    <cfRule type="expression" priority="3" aboveAverage="0" equalAverage="0" bottom="0" percent="0" rank="0" text="" dxfId="1">
      <formula>$G6="KRİTİK"</formula>
    </cfRule>
    <cfRule type="expression" priority="4" aboveAverage="0" equalAverage="0" bottom="0" percent="0" rank="0" text="" dxfId="2">
      <formula>$G6="YETERLİ"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2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N31" activeCellId="0" sqref="N3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2"/>
    <col collapsed="false" customWidth="true" hidden="false" outlineLevel="0" max="28" min="4" style="1" width="11"/>
  </cols>
  <sheetData>
    <row r="1" customFormat="false" ht="30" hidden="false" customHeight="true" outlineLevel="0" collapsed="false">
      <c r="A1" s="20" t="s">
        <v>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customFormat="false" ht="43.5" hidden="false" customHeight="true" outlineLevel="0" collapsed="false">
      <c r="A2" s="21" t="s">
        <v>32</v>
      </c>
      <c r="B2" s="21" t="s">
        <v>33</v>
      </c>
      <c r="C2" s="21" t="s">
        <v>34</v>
      </c>
      <c r="D2" s="5" t="s">
        <v>9</v>
      </c>
      <c r="E2" s="5" t="s">
        <v>10</v>
      </c>
      <c r="F2" s="5" t="s">
        <v>11</v>
      </c>
      <c r="G2" s="5" t="s">
        <v>13</v>
      </c>
      <c r="H2" s="5" t="s">
        <v>14</v>
      </c>
      <c r="I2" s="5" t="s">
        <v>15</v>
      </c>
      <c r="J2" s="5" t="s">
        <v>17</v>
      </c>
      <c r="K2" s="5" t="s">
        <v>18</v>
      </c>
      <c r="L2" s="5" t="s">
        <v>19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22"/>
      <c r="X2" s="22"/>
      <c r="Y2" s="22"/>
      <c r="Z2" s="22"/>
      <c r="AA2" s="22"/>
      <c r="AB2" s="23" t="s">
        <v>35</v>
      </c>
    </row>
    <row r="3" customFormat="false" ht="15" hidden="false" customHeight="true" outlineLevel="0" collapsed="false">
      <c r="A3" s="24" t="s">
        <v>36</v>
      </c>
      <c r="B3" s="25" t="n">
        <v>46238</v>
      </c>
      <c r="C3" s="26" t="s">
        <v>37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 t="n">
        <v>8</v>
      </c>
      <c r="P3" s="9"/>
      <c r="Q3" s="9" t="n">
        <v>14</v>
      </c>
      <c r="R3" s="9"/>
      <c r="S3" s="9" t="n">
        <v>9</v>
      </c>
      <c r="T3" s="9"/>
      <c r="U3" s="12"/>
      <c r="V3" s="12"/>
      <c r="W3" s="12"/>
      <c r="X3" s="12"/>
      <c r="Y3" s="12"/>
      <c r="Z3" s="12"/>
      <c r="AA3" s="12"/>
      <c r="AB3" s="27" t="n">
        <f aca="false">IF($A3="","",SUM($D3:$AA3))</f>
        <v>31</v>
      </c>
    </row>
    <row r="4" customFormat="false" ht="15" hidden="false" customHeight="true" outlineLevel="0" collapsed="false">
      <c r="A4" s="28" t="s">
        <v>38</v>
      </c>
      <c r="B4" s="29" t="n">
        <v>46238</v>
      </c>
      <c r="C4" s="30" t="s">
        <v>37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 t="n">
        <v>14</v>
      </c>
      <c r="Q4" s="12"/>
      <c r="R4" s="12" t="n">
        <v>15</v>
      </c>
      <c r="S4" s="12"/>
      <c r="T4" s="12" t="n">
        <v>13</v>
      </c>
      <c r="U4" s="9"/>
      <c r="V4" s="9"/>
      <c r="W4" s="9"/>
      <c r="X4" s="9"/>
      <c r="Y4" s="9"/>
      <c r="Z4" s="9"/>
      <c r="AA4" s="9"/>
      <c r="AB4" s="27" t="n">
        <f aca="false">IF($A4="","",SUM($D4:$AA4))</f>
        <v>42</v>
      </c>
    </row>
    <row r="5" customFormat="false" ht="15" hidden="false" customHeight="true" outlineLevel="0" collapsed="false">
      <c r="A5" s="24" t="s">
        <v>39</v>
      </c>
      <c r="B5" s="25" t="n">
        <v>46238</v>
      </c>
      <c r="C5" s="26" t="s">
        <v>37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 t="n">
        <v>8</v>
      </c>
      <c r="S5" s="9" t="n">
        <v>8</v>
      </c>
      <c r="T5" s="9"/>
      <c r="U5" s="12"/>
      <c r="V5" s="12"/>
      <c r="W5" s="12"/>
      <c r="X5" s="12"/>
      <c r="Y5" s="12"/>
      <c r="Z5" s="12"/>
      <c r="AA5" s="12"/>
      <c r="AB5" s="27" t="n">
        <f aca="false">IF($A5="","",SUM($D5:$AA5))</f>
        <v>16</v>
      </c>
    </row>
    <row r="6" customFormat="false" ht="15" hidden="false" customHeight="true" outlineLevel="0" collapsed="false">
      <c r="A6" s="28" t="s">
        <v>40</v>
      </c>
      <c r="B6" s="29" t="n">
        <v>46238</v>
      </c>
      <c r="C6" s="30" t="s">
        <v>37</v>
      </c>
      <c r="D6" s="12"/>
      <c r="E6" s="12"/>
      <c r="F6" s="12"/>
      <c r="G6" s="12"/>
      <c r="H6" s="12"/>
      <c r="I6" s="12"/>
      <c r="J6" s="12"/>
      <c r="K6" s="12"/>
      <c r="L6" s="12"/>
      <c r="M6" s="12" t="n">
        <v>9</v>
      </c>
      <c r="N6" s="12"/>
      <c r="O6" s="12"/>
      <c r="P6" s="12"/>
      <c r="Q6" s="12"/>
      <c r="R6" s="12"/>
      <c r="S6" s="12"/>
      <c r="T6" s="12"/>
      <c r="U6" s="9"/>
      <c r="V6" s="9"/>
      <c r="W6" s="9"/>
      <c r="X6" s="9"/>
      <c r="Y6" s="9"/>
      <c r="Z6" s="9"/>
      <c r="AA6" s="9"/>
      <c r="AB6" s="27" t="n">
        <f aca="false">IF($A6="","",SUM($D6:$AA6))</f>
        <v>9</v>
      </c>
    </row>
    <row r="7" customFormat="false" ht="15" hidden="false" customHeight="true" outlineLevel="0" collapsed="false">
      <c r="A7" s="24" t="s">
        <v>41</v>
      </c>
      <c r="B7" s="25" t="n">
        <v>46238</v>
      </c>
      <c r="C7" s="26" t="s">
        <v>37</v>
      </c>
      <c r="D7" s="9"/>
      <c r="E7" s="9"/>
      <c r="F7" s="9" t="n">
        <v>14</v>
      </c>
      <c r="G7" s="9" t="n">
        <v>10</v>
      </c>
      <c r="H7" s="9" t="n">
        <v>4</v>
      </c>
      <c r="I7" s="9"/>
      <c r="J7" s="9" t="n">
        <v>3</v>
      </c>
      <c r="K7" s="9"/>
      <c r="L7" s="9" t="n">
        <v>13</v>
      </c>
      <c r="M7" s="9" t="n">
        <v>9</v>
      </c>
      <c r="N7" s="9" t="n">
        <v>8</v>
      </c>
      <c r="O7" s="9" t="n">
        <v>11</v>
      </c>
      <c r="P7" s="9"/>
      <c r="Q7" s="9"/>
      <c r="R7" s="9"/>
      <c r="S7" s="9"/>
      <c r="T7" s="9"/>
      <c r="U7" s="12"/>
      <c r="V7" s="12"/>
      <c r="W7" s="12"/>
      <c r="X7" s="12"/>
      <c r="Y7" s="12"/>
      <c r="Z7" s="12"/>
      <c r="AA7" s="12"/>
      <c r="AB7" s="27" t="n">
        <f aca="false">IF($A7="","",SUM($D7:$AA7))</f>
        <v>72</v>
      </c>
    </row>
    <row r="8" customFormat="false" ht="15" hidden="false" customHeight="true" outlineLevel="0" collapsed="false">
      <c r="A8" s="28" t="s">
        <v>42</v>
      </c>
      <c r="B8" s="29" t="n">
        <v>46239</v>
      </c>
      <c r="C8" s="30" t="s">
        <v>37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 t="n">
        <v>10</v>
      </c>
      <c r="S8" s="12"/>
      <c r="T8" s="12" t="n">
        <v>13</v>
      </c>
      <c r="U8" s="9"/>
      <c r="V8" s="9"/>
      <c r="W8" s="9"/>
      <c r="X8" s="9"/>
      <c r="Y8" s="9"/>
      <c r="Z8" s="9"/>
      <c r="AA8" s="9"/>
      <c r="AB8" s="27" t="n">
        <f aca="false">IF($A8="","",SUM($D8:$AA8))</f>
        <v>23</v>
      </c>
    </row>
    <row r="9" customFormat="false" ht="15" hidden="false" customHeight="true" outlineLevel="0" collapsed="false">
      <c r="A9" s="24" t="s">
        <v>43</v>
      </c>
      <c r="B9" s="25" t="n">
        <v>46239</v>
      </c>
      <c r="C9" s="26" t="s">
        <v>37</v>
      </c>
      <c r="D9" s="9"/>
      <c r="E9" s="9"/>
      <c r="F9" s="9" t="n">
        <v>3</v>
      </c>
      <c r="G9" s="9" t="n">
        <v>2</v>
      </c>
      <c r="H9" s="9"/>
      <c r="I9" s="9"/>
      <c r="J9" s="9" t="n">
        <v>8</v>
      </c>
      <c r="K9" s="9"/>
      <c r="L9" s="9"/>
      <c r="M9" s="9"/>
      <c r="N9" s="9"/>
      <c r="O9" s="9"/>
      <c r="P9" s="9"/>
      <c r="Q9" s="9"/>
      <c r="R9" s="9"/>
      <c r="S9" s="9"/>
      <c r="T9" s="9"/>
      <c r="U9" s="12"/>
      <c r="V9" s="12"/>
      <c r="W9" s="12"/>
      <c r="X9" s="12"/>
      <c r="Y9" s="12"/>
      <c r="Z9" s="12"/>
      <c r="AA9" s="12"/>
      <c r="AB9" s="27" t="n">
        <f aca="false">IF($A9="","",SUM($D9:$AA9))</f>
        <v>13</v>
      </c>
    </row>
    <row r="10" customFormat="false" ht="15" hidden="false" customHeight="true" outlineLevel="0" collapsed="false">
      <c r="A10" s="28" t="s">
        <v>44</v>
      </c>
      <c r="B10" s="29" t="n">
        <v>46240</v>
      </c>
      <c r="C10" s="30" t="s">
        <v>37</v>
      </c>
      <c r="D10" s="12"/>
      <c r="E10" s="12"/>
      <c r="F10" s="12" t="n">
        <v>5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9"/>
      <c r="V10" s="9"/>
      <c r="W10" s="9"/>
      <c r="X10" s="9"/>
      <c r="Y10" s="9"/>
      <c r="Z10" s="9"/>
      <c r="AA10" s="9"/>
      <c r="AB10" s="27" t="n">
        <f aca="false">IF($A10="","",SUM($D10:$AA10))</f>
        <v>5</v>
      </c>
    </row>
    <row r="11" customFormat="false" ht="15" hidden="false" customHeight="true" outlineLevel="0" collapsed="false">
      <c r="A11" s="24" t="s">
        <v>45</v>
      </c>
      <c r="B11" s="25" t="n">
        <v>46240</v>
      </c>
      <c r="C11" s="26" t="s">
        <v>37</v>
      </c>
      <c r="D11" s="9"/>
      <c r="E11" s="9"/>
      <c r="F11" s="9" t="n">
        <v>3</v>
      </c>
      <c r="G11" s="9" t="n">
        <v>2</v>
      </c>
      <c r="H11" s="9" t="n">
        <v>9</v>
      </c>
      <c r="I11" s="9"/>
      <c r="J11" s="9"/>
      <c r="K11" s="9"/>
      <c r="L11" s="9" t="n">
        <v>13</v>
      </c>
      <c r="M11" s="9"/>
      <c r="N11" s="9"/>
      <c r="O11" s="9"/>
      <c r="P11" s="9"/>
      <c r="Q11" s="9"/>
      <c r="R11" s="9"/>
      <c r="S11" s="9"/>
      <c r="T11" s="9"/>
      <c r="U11" s="12"/>
      <c r="V11" s="12"/>
      <c r="W11" s="12"/>
      <c r="X11" s="12"/>
      <c r="Y11" s="12"/>
      <c r="Z11" s="12"/>
      <c r="AA11" s="12"/>
      <c r="AB11" s="27" t="n">
        <f aca="false">IF($A11="","",SUM($D11:$AA11))</f>
        <v>27</v>
      </c>
    </row>
    <row r="12" customFormat="false" ht="15" hidden="false" customHeight="true" outlineLevel="0" collapsed="false">
      <c r="A12" s="28" t="s">
        <v>46</v>
      </c>
      <c r="B12" s="29" t="n">
        <v>46241</v>
      </c>
      <c r="C12" s="30" t="s">
        <v>37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 t="n">
        <v>15</v>
      </c>
      <c r="O12" s="12"/>
      <c r="P12" s="12"/>
      <c r="Q12" s="12"/>
      <c r="R12" s="12"/>
      <c r="S12" s="12"/>
      <c r="T12" s="12"/>
      <c r="U12" s="9"/>
      <c r="V12" s="9"/>
      <c r="W12" s="9"/>
      <c r="X12" s="9"/>
      <c r="Y12" s="9"/>
      <c r="Z12" s="9"/>
      <c r="AA12" s="9"/>
      <c r="AB12" s="27" t="n">
        <f aca="false">IF($A12="","",SUM($D12:$AA12))</f>
        <v>15</v>
      </c>
    </row>
    <row r="13" customFormat="false" ht="15" hidden="false" customHeight="true" outlineLevel="0" collapsed="false">
      <c r="A13" s="24" t="s">
        <v>47</v>
      </c>
      <c r="B13" s="25" t="n">
        <v>46241</v>
      </c>
      <c r="C13" s="26" t="s">
        <v>37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 t="n">
        <v>12</v>
      </c>
      <c r="O13" s="9"/>
      <c r="P13" s="9"/>
      <c r="Q13" s="9"/>
      <c r="R13" s="9" t="n">
        <v>11</v>
      </c>
      <c r="S13" s="9"/>
      <c r="T13" s="9" t="n">
        <v>1</v>
      </c>
      <c r="U13" s="12"/>
      <c r="V13" s="12"/>
      <c r="W13" s="12"/>
      <c r="X13" s="12"/>
      <c r="Y13" s="12"/>
      <c r="Z13" s="12"/>
      <c r="AA13" s="12"/>
      <c r="AB13" s="27" t="n">
        <f aca="false">IF($A13="","",SUM($D13:$AA13))</f>
        <v>24</v>
      </c>
    </row>
    <row r="14" customFormat="false" ht="15" hidden="false" customHeight="true" outlineLevel="0" collapsed="false">
      <c r="A14" s="28" t="s">
        <v>48</v>
      </c>
      <c r="B14" s="29" t="n">
        <v>46241</v>
      </c>
      <c r="C14" s="30" t="s">
        <v>37</v>
      </c>
      <c r="D14" s="12"/>
      <c r="E14" s="12"/>
      <c r="F14" s="12"/>
      <c r="G14" s="12" t="n">
        <v>10</v>
      </c>
      <c r="H14" s="12"/>
      <c r="I14" s="12"/>
      <c r="J14" s="12"/>
      <c r="K14" s="12"/>
      <c r="L14" s="12"/>
      <c r="M14" s="12"/>
      <c r="N14" s="12"/>
      <c r="O14" s="12"/>
      <c r="P14" s="12"/>
      <c r="Q14" s="12" t="n">
        <v>7</v>
      </c>
      <c r="R14" s="12" t="n">
        <v>8</v>
      </c>
      <c r="S14" s="12"/>
      <c r="T14" s="12"/>
      <c r="U14" s="9"/>
      <c r="V14" s="9"/>
      <c r="W14" s="9"/>
      <c r="X14" s="9"/>
      <c r="Y14" s="9"/>
      <c r="Z14" s="9"/>
      <c r="AA14" s="9"/>
      <c r="AB14" s="27" t="n">
        <f aca="false">IF($A14="","",SUM($D14:$AA14))</f>
        <v>25</v>
      </c>
    </row>
    <row r="15" customFormat="false" ht="15" hidden="false" customHeight="true" outlineLevel="0" collapsed="false">
      <c r="A15" s="24" t="s">
        <v>49</v>
      </c>
      <c r="B15" s="25" t="n">
        <v>46241</v>
      </c>
      <c r="C15" s="26" t="s">
        <v>37</v>
      </c>
      <c r="D15" s="9" t="n">
        <v>11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2"/>
      <c r="V15" s="12"/>
      <c r="W15" s="12"/>
      <c r="X15" s="12"/>
      <c r="Y15" s="12"/>
      <c r="Z15" s="12"/>
      <c r="AA15" s="12"/>
      <c r="AB15" s="27" t="n">
        <f aca="false">IF($A15="","",SUM($D15:$AA15))</f>
        <v>11</v>
      </c>
    </row>
    <row r="16" customFormat="false" ht="15" hidden="false" customHeight="true" outlineLevel="0" collapsed="false">
      <c r="A16" s="28" t="s">
        <v>50</v>
      </c>
      <c r="B16" s="29" t="n">
        <v>46241</v>
      </c>
      <c r="C16" s="30" t="s">
        <v>37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 t="n">
        <v>12</v>
      </c>
      <c r="O16" s="12" t="n">
        <v>10</v>
      </c>
      <c r="P16" s="12"/>
      <c r="Q16" s="12" t="n">
        <v>11</v>
      </c>
      <c r="R16" s="12" t="n">
        <v>3</v>
      </c>
      <c r="S16" s="12"/>
      <c r="T16" s="12"/>
      <c r="U16" s="9"/>
      <c r="V16" s="9"/>
      <c r="W16" s="9"/>
      <c r="X16" s="9"/>
      <c r="Y16" s="9"/>
      <c r="Z16" s="9"/>
      <c r="AA16" s="9"/>
      <c r="AB16" s="27" t="n">
        <f aca="false">IF($A16="","",SUM($D16:$AA16))</f>
        <v>36</v>
      </c>
    </row>
    <row r="17" customFormat="false" ht="15" hidden="false" customHeight="true" outlineLevel="0" collapsed="false">
      <c r="A17" s="24" t="s">
        <v>51</v>
      </c>
      <c r="B17" s="25" t="n">
        <v>46241</v>
      </c>
      <c r="C17" s="26" t="s">
        <v>37</v>
      </c>
      <c r="D17" s="9" t="n">
        <v>10</v>
      </c>
      <c r="E17" s="9"/>
      <c r="F17" s="9" t="n">
        <v>1</v>
      </c>
      <c r="G17" s="9" t="n">
        <v>14</v>
      </c>
      <c r="H17" s="9"/>
      <c r="I17" s="9"/>
      <c r="J17" s="9"/>
      <c r="K17" s="9"/>
      <c r="L17" s="9"/>
      <c r="M17" s="9" t="n">
        <v>9</v>
      </c>
      <c r="N17" s="9"/>
      <c r="O17" s="9"/>
      <c r="P17" s="9"/>
      <c r="Q17" s="9"/>
      <c r="R17" s="9"/>
      <c r="S17" s="9"/>
      <c r="T17" s="9"/>
      <c r="U17" s="12"/>
      <c r="V17" s="12"/>
      <c r="W17" s="12"/>
      <c r="X17" s="12"/>
      <c r="Y17" s="12"/>
      <c r="Z17" s="12"/>
      <c r="AA17" s="12"/>
      <c r="AB17" s="27" t="n">
        <f aca="false">IF($A17="","",SUM($D17:$AA17))</f>
        <v>34</v>
      </c>
    </row>
    <row r="18" customFormat="false" ht="15" hidden="false" customHeight="true" outlineLevel="0" collapsed="false">
      <c r="A18" s="24" t="s">
        <v>52</v>
      </c>
      <c r="B18" s="25" t="n">
        <v>46239</v>
      </c>
      <c r="C18" s="26" t="s">
        <v>37</v>
      </c>
      <c r="D18" s="9" t="n">
        <v>2</v>
      </c>
      <c r="E18" s="9"/>
      <c r="F18" s="9" t="n">
        <v>1</v>
      </c>
      <c r="G18" s="9" t="n">
        <v>1</v>
      </c>
      <c r="H18" s="9" t="n">
        <v>4</v>
      </c>
      <c r="I18" s="9"/>
      <c r="J18" s="9" t="n">
        <v>15</v>
      </c>
      <c r="K18" s="9"/>
      <c r="L18" s="9" t="n">
        <v>4</v>
      </c>
      <c r="M18" s="9"/>
      <c r="N18" s="9" t="n">
        <v>10</v>
      </c>
      <c r="O18" s="9" t="n">
        <v>1</v>
      </c>
      <c r="P18" s="9" t="n">
        <v>13</v>
      </c>
      <c r="Q18" s="9" t="n">
        <v>8</v>
      </c>
      <c r="R18" s="9" t="n">
        <v>6</v>
      </c>
      <c r="S18" s="9"/>
      <c r="T18" s="9" t="n">
        <v>8</v>
      </c>
      <c r="U18" s="9" t="n">
        <v>10</v>
      </c>
      <c r="V18" s="9"/>
      <c r="W18" s="9"/>
      <c r="X18" s="9"/>
      <c r="Y18" s="9"/>
      <c r="Z18" s="9"/>
      <c r="AA18" s="9"/>
      <c r="AB18" s="27" t="n">
        <f aca="false">IF($A18="","",SUM($D18:$AA18))</f>
        <v>83</v>
      </c>
    </row>
    <row r="19" customFormat="false" ht="15" hidden="false" customHeight="true" outlineLevel="0" collapsed="false">
      <c r="A19" s="28"/>
      <c r="B19" s="29"/>
      <c r="C19" s="30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27" t="str">
        <f aca="false">IF($A19="","",SUM($D19:$AA19))</f>
        <v/>
      </c>
    </row>
    <row r="20" customFormat="false" ht="15" hidden="false" customHeight="true" outlineLevel="0" collapsed="false">
      <c r="A20" s="24"/>
      <c r="B20" s="25"/>
      <c r="C20" s="26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27" t="str">
        <f aca="false">IF($A20="","",SUM($D20:$AA20))</f>
        <v/>
      </c>
    </row>
    <row r="21" customFormat="false" ht="15" hidden="false" customHeight="true" outlineLevel="0" collapsed="false">
      <c r="A21" s="28"/>
      <c r="B21" s="29"/>
      <c r="C21" s="30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27" t="str">
        <f aca="false">IF($A21="","",SUM($D21:$AA21))</f>
        <v/>
      </c>
    </row>
    <row r="22" customFormat="false" ht="15" hidden="false" customHeight="true" outlineLevel="0" collapsed="false">
      <c r="A22" s="24"/>
      <c r="B22" s="25"/>
      <c r="C22" s="26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27" t="str">
        <f aca="false">IF($A22="","",SUM($D22:$AA22))</f>
        <v/>
      </c>
    </row>
    <row r="23" customFormat="false" ht="15" hidden="false" customHeight="true" outlineLevel="0" collapsed="false">
      <c r="A23" s="28"/>
      <c r="B23" s="29"/>
      <c r="C23" s="30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27" t="str">
        <f aca="false">IF($A23="","",SUM($D23:$AA23))</f>
        <v/>
      </c>
    </row>
    <row r="24" customFormat="false" ht="15" hidden="false" customHeight="true" outlineLevel="0" collapsed="false">
      <c r="A24" s="24"/>
      <c r="B24" s="25"/>
      <c r="C24" s="26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27" t="str">
        <f aca="false">IF($A24="","",SUM($D24:$AA24))</f>
        <v/>
      </c>
    </row>
    <row r="25" customFormat="false" ht="15" hidden="false" customHeight="true" outlineLevel="0" collapsed="false">
      <c r="A25" s="28"/>
      <c r="B25" s="29"/>
      <c r="C25" s="30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27" t="str">
        <f aca="false">IF($A25="","",SUM($D25:$AA25))</f>
        <v/>
      </c>
    </row>
    <row r="26" customFormat="false" ht="15" hidden="false" customHeight="true" outlineLevel="0" collapsed="false">
      <c r="A26" s="24"/>
      <c r="B26" s="25"/>
      <c r="C26" s="26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27" t="str">
        <f aca="false">IF($A26="","",SUM($D26:$AA26))</f>
        <v/>
      </c>
    </row>
    <row r="27" customFormat="false" ht="15" hidden="false" customHeight="true" outlineLevel="0" collapsed="false">
      <c r="A27" s="28"/>
      <c r="B27" s="29"/>
      <c r="C27" s="30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27" t="str">
        <f aca="false">IF($A27="","",SUM($D27:$AA27))</f>
        <v/>
      </c>
    </row>
    <row r="28" customFormat="false" ht="15" hidden="false" customHeight="true" outlineLevel="0" collapsed="false">
      <c r="A28" s="24"/>
      <c r="B28" s="25"/>
      <c r="C28" s="26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27" t="str">
        <f aca="false">IF($A28="","",SUM($D28:$AA28))</f>
        <v/>
      </c>
    </row>
    <row r="29" customFormat="false" ht="15" hidden="false" customHeight="true" outlineLevel="0" collapsed="false">
      <c r="A29" s="28"/>
      <c r="B29" s="29"/>
      <c r="C29" s="30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27" t="str">
        <f aca="false">IF($A29="","",SUM($D29:$AA29))</f>
        <v/>
      </c>
    </row>
    <row r="30" customFormat="false" ht="15" hidden="false" customHeight="true" outlineLevel="0" collapsed="false">
      <c r="A30" s="24"/>
      <c r="B30" s="25"/>
      <c r="C30" s="26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27" t="str">
        <f aca="false">IF($A30="","",SUM($D30:$AA30))</f>
        <v/>
      </c>
    </row>
    <row r="31" customFormat="false" ht="15" hidden="false" customHeight="true" outlineLevel="0" collapsed="false">
      <c r="A31" s="28"/>
      <c r="B31" s="29"/>
      <c r="C31" s="30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27" t="str">
        <f aca="false">IF($A31="","",SUM($D31:$AA31))</f>
        <v/>
      </c>
    </row>
    <row r="32" customFormat="false" ht="15" hidden="false" customHeight="true" outlineLevel="0" collapsed="false">
      <c r="A32" s="24"/>
      <c r="B32" s="25"/>
      <c r="C32" s="26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27" t="str">
        <f aca="false">IF($A32="","",SUM($D32:$AA32))</f>
        <v/>
      </c>
    </row>
    <row r="33" customFormat="false" ht="15" hidden="false" customHeight="true" outlineLevel="0" collapsed="false">
      <c r="A33" s="28"/>
      <c r="B33" s="29"/>
      <c r="C33" s="30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27" t="str">
        <f aca="false">IF($A33="","",SUM($D33:$AA33))</f>
        <v/>
      </c>
    </row>
    <row r="34" customFormat="false" ht="15" hidden="false" customHeight="true" outlineLevel="0" collapsed="false">
      <c r="A34" s="24"/>
      <c r="B34" s="25"/>
      <c r="C34" s="26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27" t="str">
        <f aca="false">IF($A34="","",SUM($D34:$AA34))</f>
        <v/>
      </c>
    </row>
    <row r="35" customFormat="false" ht="15" hidden="false" customHeight="true" outlineLevel="0" collapsed="false">
      <c r="A35" s="28"/>
      <c r="B35" s="29"/>
      <c r="C35" s="30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27" t="str">
        <f aca="false">IF($A35="","",SUM($D35:$AA35))</f>
        <v/>
      </c>
    </row>
    <row r="36" customFormat="false" ht="15" hidden="false" customHeight="true" outlineLevel="0" collapsed="false">
      <c r="A36" s="24"/>
      <c r="B36" s="25"/>
      <c r="C36" s="26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27" t="str">
        <f aca="false">IF($A36="","",SUM($D36:$AA36))</f>
        <v/>
      </c>
    </row>
    <row r="37" customFormat="false" ht="15" hidden="false" customHeight="true" outlineLevel="0" collapsed="false">
      <c r="A37" s="28"/>
      <c r="B37" s="29"/>
      <c r="C37" s="30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27" t="str">
        <f aca="false">IF($A37="","",SUM($D37:$AA37))</f>
        <v/>
      </c>
    </row>
    <row r="38" customFormat="false" ht="15" hidden="false" customHeight="true" outlineLevel="0" collapsed="false">
      <c r="A38" s="24"/>
      <c r="B38" s="25"/>
      <c r="C38" s="26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27" t="str">
        <f aca="false">IF($A38="","",SUM($D38:$AA38))</f>
        <v/>
      </c>
    </row>
    <row r="39" customFormat="false" ht="15" hidden="false" customHeight="true" outlineLevel="0" collapsed="false">
      <c r="A39" s="28"/>
      <c r="B39" s="29"/>
      <c r="C39" s="30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27" t="str">
        <f aca="false">IF($A39="","",SUM($D39:$AA39))</f>
        <v/>
      </c>
    </row>
    <row r="40" customFormat="false" ht="15" hidden="false" customHeight="true" outlineLevel="0" collapsed="false">
      <c r="A40" s="24"/>
      <c r="B40" s="25"/>
      <c r="C40" s="26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27" t="str">
        <f aca="false">IF($A40="","",SUM($D40:$AA40))</f>
        <v/>
      </c>
    </row>
    <row r="41" customFormat="false" ht="15" hidden="false" customHeight="true" outlineLevel="0" collapsed="false">
      <c r="A41" s="28"/>
      <c r="B41" s="29"/>
      <c r="C41" s="30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27" t="str">
        <f aca="false">IF($A41="","",SUM($D41:$AA41))</f>
        <v/>
      </c>
    </row>
    <row r="42" customFormat="false" ht="15" hidden="false" customHeight="true" outlineLevel="0" collapsed="false">
      <c r="A42" s="24"/>
      <c r="B42" s="25"/>
      <c r="C42" s="26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27" t="str">
        <f aca="false">IF($A42="","",SUM($D42:$AA42))</f>
        <v/>
      </c>
    </row>
    <row r="43" customFormat="false" ht="15" hidden="false" customHeight="true" outlineLevel="0" collapsed="false">
      <c r="A43" s="28"/>
      <c r="B43" s="29"/>
      <c r="C43" s="30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27" t="str">
        <f aca="false">IF($A43="","",SUM($D43:$AA43))</f>
        <v/>
      </c>
    </row>
    <row r="44" customFormat="false" ht="15" hidden="false" customHeight="true" outlineLevel="0" collapsed="false">
      <c r="A44" s="24"/>
      <c r="B44" s="25"/>
      <c r="C44" s="26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27" t="str">
        <f aca="false">IF($A44="","",SUM($D44:$AA44))</f>
        <v/>
      </c>
    </row>
    <row r="45" customFormat="false" ht="15" hidden="false" customHeight="true" outlineLevel="0" collapsed="false">
      <c r="A45" s="28"/>
      <c r="B45" s="29"/>
      <c r="C45" s="30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27" t="str">
        <f aca="false">IF($A45="","",SUM($D45:$AA45))</f>
        <v/>
      </c>
    </row>
    <row r="46" customFormat="false" ht="15" hidden="false" customHeight="true" outlineLevel="0" collapsed="false">
      <c r="A46" s="24"/>
      <c r="B46" s="25"/>
      <c r="C46" s="26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27" t="str">
        <f aca="false">IF($A46="","",SUM($D46:$AA46))</f>
        <v/>
      </c>
    </row>
    <row r="47" customFormat="false" ht="15" hidden="false" customHeight="true" outlineLevel="0" collapsed="false">
      <c r="A47" s="28"/>
      <c r="B47" s="29"/>
      <c r="C47" s="30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27" t="str">
        <f aca="false">IF($A47="","",SUM($D47:$AA47))</f>
        <v/>
      </c>
    </row>
    <row r="48" customFormat="false" ht="15" hidden="false" customHeight="true" outlineLevel="0" collapsed="false">
      <c r="A48" s="24"/>
      <c r="B48" s="25"/>
      <c r="C48" s="26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27" t="str">
        <f aca="false">IF($A48="","",SUM($D48:$AA48))</f>
        <v/>
      </c>
    </row>
    <row r="49" customFormat="false" ht="15" hidden="false" customHeight="true" outlineLevel="0" collapsed="false">
      <c r="A49" s="28"/>
      <c r="B49" s="29"/>
      <c r="C49" s="30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27" t="str">
        <f aca="false">IF($A49="","",SUM($D49:$AA49))</f>
        <v/>
      </c>
    </row>
    <row r="50" customFormat="false" ht="15" hidden="false" customHeight="true" outlineLevel="0" collapsed="false">
      <c r="A50" s="24"/>
      <c r="B50" s="25"/>
      <c r="C50" s="26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27" t="str">
        <f aca="false">IF($A50="","",SUM($D50:$AA50))</f>
        <v/>
      </c>
    </row>
    <row r="51" customFormat="false" ht="15" hidden="false" customHeight="true" outlineLevel="0" collapsed="false">
      <c r="A51" s="28"/>
      <c r="B51" s="29"/>
      <c r="C51" s="30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27" t="str">
        <f aca="false">IF($A51="","",SUM($D51:$AA51))</f>
        <v/>
      </c>
    </row>
    <row r="52" customFormat="false" ht="15" hidden="false" customHeight="true" outlineLevel="0" collapsed="false">
      <c r="A52" s="24"/>
      <c r="B52" s="25"/>
      <c r="C52" s="26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27" t="str">
        <f aca="false">IF($A52="","",SUM($D52:$AA52))</f>
        <v/>
      </c>
    </row>
    <row r="53" customFormat="false" ht="15" hidden="false" customHeight="true" outlineLevel="0" collapsed="false">
      <c r="A53" s="28"/>
      <c r="B53" s="29"/>
      <c r="C53" s="30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27" t="str">
        <f aca="false">IF($A53="","",SUM($D53:$AA53))</f>
        <v/>
      </c>
    </row>
    <row r="54" customFormat="false" ht="15" hidden="false" customHeight="true" outlineLevel="0" collapsed="false">
      <c r="A54" s="24"/>
      <c r="B54" s="25"/>
      <c r="C54" s="26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27" t="str">
        <f aca="false">IF($A54="","",SUM($D54:$AA54))</f>
        <v/>
      </c>
    </row>
    <row r="55" customFormat="false" ht="15" hidden="false" customHeight="true" outlineLevel="0" collapsed="false">
      <c r="A55" s="28"/>
      <c r="B55" s="29"/>
      <c r="C55" s="30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27" t="str">
        <f aca="false">IF($A55="","",SUM($D55:$AA55))</f>
        <v/>
      </c>
    </row>
    <row r="56" customFormat="false" ht="15" hidden="false" customHeight="true" outlineLevel="0" collapsed="false">
      <c r="A56" s="24"/>
      <c r="B56" s="25"/>
      <c r="C56" s="26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27" t="str">
        <f aca="false">IF($A56="","",SUM($D56:$AA56))</f>
        <v/>
      </c>
    </row>
    <row r="57" customFormat="false" ht="15" hidden="false" customHeight="true" outlineLevel="0" collapsed="false">
      <c r="A57" s="28"/>
      <c r="B57" s="29"/>
      <c r="C57" s="30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27" t="str">
        <f aca="false">IF($A57="","",SUM($D57:$AA57))</f>
        <v/>
      </c>
    </row>
    <row r="58" customFormat="false" ht="15" hidden="false" customHeight="true" outlineLevel="0" collapsed="false">
      <c r="A58" s="24"/>
      <c r="B58" s="25"/>
      <c r="C58" s="26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27" t="str">
        <f aca="false">IF($A58="","",SUM($D58:$AA58))</f>
        <v/>
      </c>
    </row>
    <row r="59" customFormat="false" ht="15" hidden="false" customHeight="true" outlineLevel="0" collapsed="false">
      <c r="A59" s="28"/>
      <c r="B59" s="29"/>
      <c r="C59" s="30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27" t="str">
        <f aca="false">IF($A59="","",SUM($D59:$AA59))</f>
        <v/>
      </c>
    </row>
    <row r="60" customFormat="false" ht="15" hidden="false" customHeight="true" outlineLevel="0" collapsed="false">
      <c r="A60" s="24"/>
      <c r="B60" s="25"/>
      <c r="C60" s="26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27" t="str">
        <f aca="false">IF($A60="","",SUM($D60:$AA60))</f>
        <v/>
      </c>
    </row>
    <row r="61" customFormat="false" ht="15" hidden="false" customHeight="true" outlineLevel="0" collapsed="false">
      <c r="A61" s="28"/>
      <c r="B61" s="29"/>
      <c r="C61" s="30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27" t="str">
        <f aca="false">IF($A61="","",SUM($D61:$AA61))</f>
        <v/>
      </c>
    </row>
    <row r="62" customFormat="false" ht="15" hidden="false" customHeight="true" outlineLevel="0" collapsed="false">
      <c r="A62" s="24"/>
      <c r="B62" s="25"/>
      <c r="C62" s="26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27" t="str">
        <f aca="false">IF($A62="","",SUM($D62:$AA62))</f>
        <v/>
      </c>
    </row>
    <row r="63" customFormat="false" ht="15" hidden="false" customHeight="true" outlineLevel="0" collapsed="false">
      <c r="A63" s="28"/>
      <c r="B63" s="29"/>
      <c r="C63" s="30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27" t="str">
        <f aca="false">IF($A63="","",SUM($D63:$AA63))</f>
        <v/>
      </c>
    </row>
    <row r="64" customFormat="false" ht="15" hidden="false" customHeight="true" outlineLevel="0" collapsed="false">
      <c r="A64" s="24"/>
      <c r="B64" s="25"/>
      <c r="C64" s="26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27" t="str">
        <f aca="false">IF($A64="","",SUM($D64:$AA64))</f>
        <v/>
      </c>
    </row>
    <row r="65" customFormat="false" ht="15" hidden="false" customHeight="true" outlineLevel="0" collapsed="false">
      <c r="A65" s="28"/>
      <c r="B65" s="29"/>
      <c r="C65" s="30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27" t="str">
        <f aca="false">IF($A65="","",SUM($D65:$AA65))</f>
        <v/>
      </c>
    </row>
    <row r="66" customFormat="false" ht="15" hidden="false" customHeight="true" outlineLevel="0" collapsed="false">
      <c r="A66" s="24"/>
      <c r="B66" s="25"/>
      <c r="C66" s="26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27" t="str">
        <f aca="false">IF($A66="","",SUM($D66:$AA66))</f>
        <v/>
      </c>
    </row>
    <row r="67" customFormat="false" ht="15" hidden="false" customHeight="true" outlineLevel="0" collapsed="false">
      <c r="A67" s="28"/>
      <c r="B67" s="29"/>
      <c r="C67" s="30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27" t="str">
        <f aca="false">IF($A67="","",SUM($D67:$AA67))</f>
        <v/>
      </c>
    </row>
    <row r="68" customFormat="false" ht="15" hidden="false" customHeight="true" outlineLevel="0" collapsed="false">
      <c r="A68" s="24"/>
      <c r="B68" s="25"/>
      <c r="C68" s="26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27" t="str">
        <f aca="false">IF($A68="","",SUM($D68:$AA68))</f>
        <v/>
      </c>
    </row>
    <row r="69" customFormat="false" ht="15" hidden="false" customHeight="true" outlineLevel="0" collapsed="false">
      <c r="A69" s="28"/>
      <c r="B69" s="29"/>
      <c r="C69" s="30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27" t="str">
        <f aca="false">IF($A69="","",SUM($D69:$AA69))</f>
        <v/>
      </c>
    </row>
    <row r="70" customFormat="false" ht="15" hidden="false" customHeight="true" outlineLevel="0" collapsed="false">
      <c r="A70" s="24"/>
      <c r="B70" s="25"/>
      <c r="C70" s="26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27" t="str">
        <f aca="false">IF($A70="","",SUM($D70:$AA70))</f>
        <v/>
      </c>
    </row>
    <row r="71" customFormat="false" ht="15" hidden="false" customHeight="true" outlineLevel="0" collapsed="false">
      <c r="A71" s="28"/>
      <c r="B71" s="29"/>
      <c r="C71" s="30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27" t="str">
        <f aca="false">IF($A71="","",SUM($D71:$AA71))</f>
        <v/>
      </c>
    </row>
    <row r="72" customFormat="false" ht="15" hidden="false" customHeight="true" outlineLevel="0" collapsed="false">
      <c r="A72" s="24"/>
      <c r="B72" s="25"/>
      <c r="C72" s="26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27" t="str">
        <f aca="false">IF($A72="","",SUM($D72:$AA72))</f>
        <v/>
      </c>
    </row>
    <row r="73" customFormat="false" ht="15" hidden="false" customHeight="true" outlineLevel="0" collapsed="false">
      <c r="A73" s="28"/>
      <c r="B73" s="29"/>
      <c r="C73" s="30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27" t="str">
        <f aca="false">IF($A73="","",SUM($D73:$AA73))</f>
        <v/>
      </c>
    </row>
    <row r="74" customFormat="false" ht="15" hidden="false" customHeight="true" outlineLevel="0" collapsed="false">
      <c r="A74" s="24"/>
      <c r="B74" s="25"/>
      <c r="C74" s="26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27" t="str">
        <f aca="false">IF($A74="","",SUM($D74:$AA74))</f>
        <v/>
      </c>
    </row>
    <row r="75" customFormat="false" ht="15" hidden="false" customHeight="true" outlineLevel="0" collapsed="false">
      <c r="A75" s="28"/>
      <c r="B75" s="29"/>
      <c r="C75" s="30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27" t="str">
        <f aca="false">IF($A75="","",SUM($D75:$AA75))</f>
        <v/>
      </c>
    </row>
    <row r="76" customFormat="false" ht="15" hidden="false" customHeight="true" outlineLevel="0" collapsed="false">
      <c r="A76" s="24"/>
      <c r="B76" s="25"/>
      <c r="C76" s="26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27" t="str">
        <f aca="false">IF($A76="","",SUM($D76:$AA76))</f>
        <v/>
      </c>
    </row>
    <row r="77" customFormat="false" ht="15" hidden="false" customHeight="true" outlineLevel="0" collapsed="false">
      <c r="A77" s="28"/>
      <c r="B77" s="29"/>
      <c r="C77" s="30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27" t="str">
        <f aca="false">IF($A77="","",SUM($D77:$AA77))</f>
        <v/>
      </c>
    </row>
    <row r="78" customFormat="false" ht="15" hidden="false" customHeight="true" outlineLevel="0" collapsed="false">
      <c r="A78" s="24"/>
      <c r="B78" s="25"/>
      <c r="C78" s="26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27" t="str">
        <f aca="false">IF($A78="","",SUM($D78:$AA78))</f>
        <v/>
      </c>
    </row>
    <row r="79" customFormat="false" ht="15" hidden="false" customHeight="true" outlineLevel="0" collapsed="false">
      <c r="A79" s="28"/>
      <c r="B79" s="29"/>
      <c r="C79" s="30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27" t="str">
        <f aca="false">IF($A79="","",SUM($D79:$AA79))</f>
        <v/>
      </c>
    </row>
    <row r="80" customFormat="false" ht="15" hidden="false" customHeight="true" outlineLevel="0" collapsed="false">
      <c r="A80" s="24"/>
      <c r="B80" s="25"/>
      <c r="C80" s="26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27" t="str">
        <f aca="false">IF($A80="","",SUM($D80:$AA80))</f>
        <v/>
      </c>
    </row>
    <row r="81" customFormat="false" ht="15" hidden="false" customHeight="true" outlineLevel="0" collapsed="false">
      <c r="A81" s="28"/>
      <c r="B81" s="29"/>
      <c r="C81" s="30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27" t="str">
        <f aca="false">IF($A81="","",SUM($D81:$AA81))</f>
        <v/>
      </c>
    </row>
    <row r="82" customFormat="false" ht="15" hidden="false" customHeight="true" outlineLevel="0" collapsed="false">
      <c r="A82" s="24"/>
      <c r="B82" s="25"/>
      <c r="C82" s="26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27" t="str">
        <f aca="false">IF($A82="","",SUM($D82:$AA82))</f>
        <v/>
      </c>
    </row>
    <row r="83" customFormat="false" ht="15" hidden="false" customHeight="true" outlineLevel="0" collapsed="false">
      <c r="A83" s="28"/>
      <c r="B83" s="29"/>
      <c r="C83" s="30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27" t="str">
        <f aca="false">IF($A83="","",SUM($D83:$AA83))</f>
        <v/>
      </c>
    </row>
    <row r="84" customFormat="false" ht="15" hidden="false" customHeight="true" outlineLevel="0" collapsed="false">
      <c r="A84" s="24"/>
      <c r="B84" s="25"/>
      <c r="C84" s="26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27" t="str">
        <f aca="false">IF($A84="","",SUM($D84:$AA84))</f>
        <v/>
      </c>
    </row>
    <row r="85" customFormat="false" ht="15" hidden="false" customHeight="true" outlineLevel="0" collapsed="false">
      <c r="A85" s="28"/>
      <c r="B85" s="29"/>
      <c r="C85" s="30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27" t="str">
        <f aca="false">IF($A85="","",SUM($D85:$AA85))</f>
        <v/>
      </c>
    </row>
    <row r="86" customFormat="false" ht="15" hidden="false" customHeight="true" outlineLevel="0" collapsed="false">
      <c r="A86" s="24"/>
      <c r="B86" s="25"/>
      <c r="C86" s="26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27" t="str">
        <f aca="false">IF($A86="","",SUM($D86:$AA86))</f>
        <v/>
      </c>
    </row>
    <row r="87" customFormat="false" ht="15" hidden="false" customHeight="true" outlineLevel="0" collapsed="false">
      <c r="A87" s="28"/>
      <c r="B87" s="29"/>
      <c r="C87" s="30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27" t="str">
        <f aca="false">IF($A87="","",SUM($D87:$AA87))</f>
        <v/>
      </c>
    </row>
    <row r="88" customFormat="false" ht="15" hidden="false" customHeight="true" outlineLevel="0" collapsed="false">
      <c r="A88" s="24"/>
      <c r="B88" s="25"/>
      <c r="C88" s="26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27" t="str">
        <f aca="false">IF($A88="","",SUM($D88:$AA88))</f>
        <v/>
      </c>
    </row>
    <row r="89" customFormat="false" ht="15" hidden="false" customHeight="true" outlineLevel="0" collapsed="false">
      <c r="A89" s="28"/>
      <c r="B89" s="29"/>
      <c r="C89" s="30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27" t="str">
        <f aca="false">IF($A89="","",SUM($D89:$AA89))</f>
        <v/>
      </c>
    </row>
    <row r="90" customFormat="false" ht="15" hidden="false" customHeight="true" outlineLevel="0" collapsed="false">
      <c r="A90" s="24"/>
      <c r="B90" s="25"/>
      <c r="C90" s="26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27" t="str">
        <f aca="false">IF($A90="","",SUM($D90:$AA90))</f>
        <v/>
      </c>
    </row>
    <row r="91" customFormat="false" ht="15" hidden="false" customHeight="true" outlineLevel="0" collapsed="false">
      <c r="A91" s="28"/>
      <c r="B91" s="29"/>
      <c r="C91" s="30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27" t="str">
        <f aca="false">IF($A91="","",SUM($D91:$AA91))</f>
        <v/>
      </c>
    </row>
    <row r="92" customFormat="false" ht="15" hidden="false" customHeight="true" outlineLevel="0" collapsed="false">
      <c r="A92" s="24"/>
      <c r="B92" s="25"/>
      <c r="C92" s="26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27" t="str">
        <f aca="false">IF($A92="","",SUM($D92:$AA92))</f>
        <v/>
      </c>
    </row>
    <row r="93" customFormat="false" ht="15" hidden="false" customHeight="true" outlineLevel="0" collapsed="false">
      <c r="A93" s="28"/>
      <c r="B93" s="29"/>
      <c r="C93" s="30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27" t="str">
        <f aca="false">IF($A93="","",SUM($D93:$AA93))</f>
        <v/>
      </c>
    </row>
    <row r="94" customFormat="false" ht="15" hidden="false" customHeight="true" outlineLevel="0" collapsed="false">
      <c r="A94" s="24"/>
      <c r="B94" s="25"/>
      <c r="C94" s="26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27" t="str">
        <f aca="false">IF($A94="","",SUM($D94:$AA94))</f>
        <v/>
      </c>
    </row>
    <row r="95" customFormat="false" ht="15" hidden="false" customHeight="true" outlineLevel="0" collapsed="false">
      <c r="A95" s="28"/>
      <c r="B95" s="29"/>
      <c r="C95" s="30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27" t="str">
        <f aca="false">IF($A95="","",SUM($D95:$AA95))</f>
        <v/>
      </c>
    </row>
    <row r="96" customFormat="false" ht="15" hidden="false" customHeight="true" outlineLevel="0" collapsed="false">
      <c r="A96" s="24"/>
      <c r="B96" s="25"/>
      <c r="C96" s="26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27" t="str">
        <f aca="false">IF($A96="","",SUM($D96:$AA96))</f>
        <v/>
      </c>
    </row>
    <row r="97" customFormat="false" ht="15" hidden="false" customHeight="true" outlineLevel="0" collapsed="false">
      <c r="A97" s="28"/>
      <c r="B97" s="29"/>
      <c r="C97" s="30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27" t="str">
        <f aca="false">IF($A97="","",SUM($D97:$AA97))</f>
        <v/>
      </c>
    </row>
    <row r="98" customFormat="false" ht="15" hidden="false" customHeight="true" outlineLevel="0" collapsed="false">
      <c r="A98" s="24"/>
      <c r="B98" s="25"/>
      <c r="C98" s="26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27" t="str">
        <f aca="false">IF($A98="","",SUM($D98:$AA98))</f>
        <v/>
      </c>
    </row>
    <row r="99" customFormat="false" ht="15" hidden="false" customHeight="true" outlineLevel="0" collapsed="false">
      <c r="A99" s="28"/>
      <c r="B99" s="29"/>
      <c r="C99" s="30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27" t="str">
        <f aca="false">IF($A99="","",SUM($D99:$AA99))</f>
        <v/>
      </c>
    </row>
    <row r="100" customFormat="false" ht="15" hidden="false" customHeight="true" outlineLevel="0" collapsed="false">
      <c r="A100" s="24"/>
      <c r="B100" s="25"/>
      <c r="C100" s="26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27" t="str">
        <f aca="false">IF($A100="","",SUM($D100:$AA100))</f>
        <v/>
      </c>
    </row>
    <row r="101" customFormat="false" ht="15" hidden="false" customHeight="true" outlineLevel="0" collapsed="false">
      <c r="A101" s="28"/>
      <c r="B101" s="29"/>
      <c r="C101" s="30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27" t="str">
        <f aca="false">IF($A101="","",SUM($D101:$AA101))</f>
        <v/>
      </c>
    </row>
    <row r="102" customFormat="false" ht="15" hidden="false" customHeight="true" outlineLevel="0" collapsed="false">
      <c r="A102" s="24"/>
      <c r="B102" s="25"/>
      <c r="C102" s="26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27" t="str">
        <f aca="false">IF($A102="","",SUM($D102:$AA102))</f>
        <v/>
      </c>
    </row>
    <row r="103" customFormat="false" ht="15" hidden="false" customHeight="true" outlineLevel="0" collapsed="false">
      <c r="A103" s="28"/>
      <c r="B103" s="29"/>
      <c r="C103" s="30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27" t="str">
        <f aca="false">IF($A103="","",SUM($D103:$AA103))</f>
        <v/>
      </c>
    </row>
    <row r="104" customFormat="false" ht="15" hidden="false" customHeight="true" outlineLevel="0" collapsed="false">
      <c r="A104" s="24"/>
      <c r="B104" s="25"/>
      <c r="C104" s="26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27" t="str">
        <f aca="false">IF($A104="","",SUM($D104:$AA104))</f>
        <v/>
      </c>
    </row>
    <row r="105" customFormat="false" ht="15" hidden="false" customHeight="true" outlineLevel="0" collapsed="false">
      <c r="A105" s="28"/>
      <c r="B105" s="29"/>
      <c r="C105" s="30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27" t="str">
        <f aca="false">IF($A105="","",SUM($D105:$AA105))</f>
        <v/>
      </c>
    </row>
    <row r="106" customFormat="false" ht="15" hidden="false" customHeight="true" outlineLevel="0" collapsed="false">
      <c r="A106" s="24"/>
      <c r="B106" s="25"/>
      <c r="C106" s="26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27" t="str">
        <f aca="false">IF($A106="","",SUM($D106:$AA106))</f>
        <v/>
      </c>
    </row>
    <row r="107" customFormat="false" ht="15" hidden="false" customHeight="true" outlineLevel="0" collapsed="false">
      <c r="A107" s="28"/>
      <c r="B107" s="29"/>
      <c r="C107" s="30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27" t="str">
        <f aca="false">IF($A107="","",SUM($D107:$AA107))</f>
        <v/>
      </c>
    </row>
    <row r="108" customFormat="false" ht="15" hidden="false" customHeight="true" outlineLevel="0" collapsed="false">
      <c r="A108" s="24"/>
      <c r="B108" s="25"/>
      <c r="C108" s="26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27" t="str">
        <f aca="false">IF($A108="","",SUM($D108:$AA108))</f>
        <v/>
      </c>
    </row>
    <row r="109" customFormat="false" ht="15" hidden="false" customHeight="true" outlineLevel="0" collapsed="false">
      <c r="A109" s="28"/>
      <c r="B109" s="29"/>
      <c r="C109" s="30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27" t="str">
        <f aca="false">IF($A109="","",SUM($D109:$AA109))</f>
        <v/>
      </c>
    </row>
    <row r="110" customFormat="false" ht="15" hidden="false" customHeight="true" outlineLevel="0" collapsed="false">
      <c r="A110" s="24"/>
      <c r="B110" s="25"/>
      <c r="C110" s="26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27" t="str">
        <f aca="false">IF($A110="","",SUM($D110:$AA110))</f>
        <v/>
      </c>
    </row>
    <row r="111" customFormat="false" ht="15" hidden="false" customHeight="true" outlineLevel="0" collapsed="false">
      <c r="A111" s="28"/>
      <c r="B111" s="29"/>
      <c r="C111" s="30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27" t="str">
        <f aca="false">IF($A111="","",SUM($D111:$AA111))</f>
        <v/>
      </c>
    </row>
    <row r="112" customFormat="false" ht="15" hidden="false" customHeight="true" outlineLevel="0" collapsed="false">
      <c r="A112" s="24"/>
      <c r="B112" s="25"/>
      <c r="C112" s="26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27" t="str">
        <f aca="false">IF($A112="","",SUM($D112:$AA112))</f>
        <v/>
      </c>
    </row>
    <row r="113" customFormat="false" ht="15" hidden="false" customHeight="true" outlineLevel="0" collapsed="false">
      <c r="A113" s="28"/>
      <c r="B113" s="29"/>
      <c r="C113" s="30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27" t="str">
        <f aca="false">IF($A113="","",SUM($D113:$AA113))</f>
        <v/>
      </c>
    </row>
    <row r="114" customFormat="false" ht="15" hidden="false" customHeight="true" outlineLevel="0" collapsed="false">
      <c r="A114" s="24"/>
      <c r="B114" s="25"/>
      <c r="C114" s="26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27" t="str">
        <f aca="false">IF($A114="","",SUM($D114:$AA114))</f>
        <v/>
      </c>
    </row>
    <row r="115" customFormat="false" ht="15" hidden="false" customHeight="true" outlineLevel="0" collapsed="false">
      <c r="A115" s="28"/>
      <c r="B115" s="29"/>
      <c r="C115" s="30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27" t="str">
        <f aca="false">IF($A115="","",SUM($D115:$AA115))</f>
        <v/>
      </c>
    </row>
    <row r="116" customFormat="false" ht="15" hidden="false" customHeight="true" outlineLevel="0" collapsed="false">
      <c r="A116" s="24"/>
      <c r="B116" s="25"/>
      <c r="C116" s="26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27" t="str">
        <f aca="false">IF($A116="","",SUM($D116:$AA116))</f>
        <v/>
      </c>
    </row>
    <row r="117" customFormat="false" ht="15" hidden="false" customHeight="true" outlineLevel="0" collapsed="false">
      <c r="A117" s="28"/>
      <c r="B117" s="29"/>
      <c r="C117" s="30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27" t="str">
        <f aca="false">IF($A117="","",SUM($D117:$AA117))</f>
        <v/>
      </c>
    </row>
    <row r="118" customFormat="false" ht="15" hidden="false" customHeight="true" outlineLevel="0" collapsed="false">
      <c r="A118" s="24"/>
      <c r="B118" s="25"/>
      <c r="C118" s="26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27" t="str">
        <f aca="false">IF($A118="","",SUM($D118:$AA118))</f>
        <v/>
      </c>
    </row>
    <row r="119" customFormat="false" ht="15" hidden="false" customHeight="true" outlineLevel="0" collapsed="false">
      <c r="A119" s="28"/>
      <c r="B119" s="29"/>
      <c r="C119" s="30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27" t="str">
        <f aca="false">IF($A119="","",SUM($D119:$AA119))</f>
        <v/>
      </c>
    </row>
    <row r="120" customFormat="false" ht="15" hidden="false" customHeight="true" outlineLevel="0" collapsed="false">
      <c r="A120" s="24"/>
      <c r="B120" s="25"/>
      <c r="C120" s="26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27" t="str">
        <f aca="false">IF($A120="","",SUM($D120:$AA120))</f>
        <v/>
      </c>
    </row>
    <row r="121" customFormat="false" ht="15" hidden="false" customHeight="true" outlineLevel="0" collapsed="false">
      <c r="A121" s="28"/>
      <c r="B121" s="29"/>
      <c r="C121" s="30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27" t="str">
        <f aca="false">IF($A121="","",SUM($D121:$AA121))</f>
        <v/>
      </c>
    </row>
    <row r="122" customFormat="false" ht="15" hidden="false" customHeight="true" outlineLevel="0" collapsed="false">
      <c r="A122" s="24"/>
      <c r="B122" s="25"/>
      <c r="C122" s="26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27" t="str">
        <f aca="false">IF($A122="","",SUM($D122:$AA122))</f>
        <v/>
      </c>
    </row>
    <row r="123" customFormat="false" ht="15" hidden="false" customHeight="true" outlineLevel="0" collapsed="false">
      <c r="A123" s="28"/>
      <c r="B123" s="29"/>
      <c r="C123" s="30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27" t="str">
        <f aca="false">IF($A123="","",SUM($D123:$AA123))</f>
        <v/>
      </c>
    </row>
    <row r="124" customFormat="false" ht="15" hidden="false" customHeight="true" outlineLevel="0" collapsed="false">
      <c r="A124" s="24"/>
      <c r="B124" s="25"/>
      <c r="C124" s="26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27" t="str">
        <f aca="false">IF($A124="","",SUM($D124:$AA124))</f>
        <v/>
      </c>
    </row>
    <row r="125" customFormat="false" ht="15" hidden="false" customHeight="true" outlineLevel="0" collapsed="false">
      <c r="A125" s="28"/>
      <c r="B125" s="29"/>
      <c r="C125" s="30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27" t="str">
        <f aca="false">IF($A125="","",SUM($D125:$AA125))</f>
        <v/>
      </c>
    </row>
    <row r="126" customFormat="false" ht="15" hidden="false" customHeight="true" outlineLevel="0" collapsed="false">
      <c r="A126" s="24"/>
      <c r="B126" s="25"/>
      <c r="C126" s="26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27" t="str">
        <f aca="false">IF($A126="","",SUM($D126:$AA126))</f>
        <v/>
      </c>
    </row>
    <row r="127" customFormat="false" ht="15" hidden="false" customHeight="true" outlineLevel="0" collapsed="false">
      <c r="A127" s="28"/>
      <c r="B127" s="29"/>
      <c r="C127" s="30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27" t="str">
        <f aca="false">IF($A127="","",SUM($D127:$AA127))</f>
        <v/>
      </c>
    </row>
    <row r="128" customFormat="false" ht="15" hidden="false" customHeight="true" outlineLevel="0" collapsed="false">
      <c r="A128" s="24"/>
      <c r="B128" s="25"/>
      <c r="C128" s="26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27" t="str">
        <f aca="false">IF($A128="","",SUM($D128:$AA128))</f>
        <v/>
      </c>
    </row>
    <row r="129" customFormat="false" ht="15" hidden="false" customHeight="true" outlineLevel="0" collapsed="false">
      <c r="A129" s="28"/>
      <c r="B129" s="29"/>
      <c r="C129" s="30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27" t="str">
        <f aca="false">IF($A129="","",SUM($D129:$AA129))</f>
        <v/>
      </c>
    </row>
    <row r="130" customFormat="false" ht="15" hidden="false" customHeight="true" outlineLevel="0" collapsed="false">
      <c r="A130" s="24"/>
      <c r="B130" s="25"/>
      <c r="C130" s="26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27" t="str">
        <f aca="false">IF($A130="","",SUM($D130:$AA130))</f>
        <v/>
      </c>
    </row>
    <row r="131" customFormat="false" ht="15" hidden="false" customHeight="true" outlineLevel="0" collapsed="false">
      <c r="A131" s="28"/>
      <c r="B131" s="29"/>
      <c r="C131" s="30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27" t="str">
        <f aca="false">IF($A131="","",SUM($D131:$AA131))</f>
        <v/>
      </c>
    </row>
    <row r="132" customFormat="false" ht="15" hidden="false" customHeight="true" outlineLevel="0" collapsed="false">
      <c r="A132" s="24"/>
      <c r="B132" s="25"/>
      <c r="C132" s="26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27" t="str">
        <f aca="false">IF($A132="","",SUM($D132:$AA132))</f>
        <v/>
      </c>
    </row>
    <row r="133" customFormat="false" ht="15" hidden="false" customHeight="true" outlineLevel="0" collapsed="false">
      <c r="A133" s="28"/>
      <c r="B133" s="29"/>
      <c r="C133" s="30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27" t="str">
        <f aca="false">IF($A133="","",SUM($D133:$AA133))</f>
        <v/>
      </c>
    </row>
    <row r="134" customFormat="false" ht="15" hidden="false" customHeight="true" outlineLevel="0" collapsed="false">
      <c r="A134" s="24"/>
      <c r="B134" s="25"/>
      <c r="C134" s="26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27" t="str">
        <f aca="false">IF($A134="","",SUM($D134:$AA134))</f>
        <v/>
      </c>
    </row>
    <row r="135" customFormat="false" ht="15" hidden="false" customHeight="true" outlineLevel="0" collapsed="false">
      <c r="A135" s="28"/>
      <c r="B135" s="29"/>
      <c r="C135" s="30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27" t="str">
        <f aca="false">IF($A135="","",SUM($D135:$AA135))</f>
        <v/>
      </c>
    </row>
    <row r="136" customFormat="false" ht="15" hidden="false" customHeight="true" outlineLevel="0" collapsed="false">
      <c r="A136" s="24"/>
      <c r="B136" s="25"/>
      <c r="C136" s="26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27" t="str">
        <f aca="false">IF($A136="","",SUM($D136:$AA136))</f>
        <v/>
      </c>
    </row>
    <row r="137" customFormat="false" ht="15" hidden="false" customHeight="true" outlineLevel="0" collapsed="false">
      <c r="A137" s="28"/>
      <c r="B137" s="29"/>
      <c r="C137" s="30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27" t="str">
        <f aca="false">IF($A137="","",SUM($D137:$AA137))</f>
        <v/>
      </c>
    </row>
    <row r="138" customFormat="false" ht="15" hidden="false" customHeight="true" outlineLevel="0" collapsed="false">
      <c r="A138" s="24"/>
      <c r="B138" s="25"/>
      <c r="C138" s="26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27" t="str">
        <f aca="false">IF($A138="","",SUM($D138:$AA138))</f>
        <v/>
      </c>
    </row>
    <row r="139" customFormat="false" ht="15" hidden="false" customHeight="true" outlineLevel="0" collapsed="false">
      <c r="A139" s="28"/>
      <c r="B139" s="29"/>
      <c r="C139" s="30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27" t="str">
        <f aca="false">IF($A139="","",SUM($D139:$AA139))</f>
        <v/>
      </c>
    </row>
    <row r="140" customFormat="false" ht="15" hidden="false" customHeight="true" outlineLevel="0" collapsed="false">
      <c r="A140" s="24"/>
      <c r="B140" s="25"/>
      <c r="C140" s="26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27" t="str">
        <f aca="false">IF($A140="","",SUM($D140:$AA140))</f>
        <v/>
      </c>
    </row>
    <row r="141" customFormat="false" ht="15" hidden="false" customHeight="true" outlineLevel="0" collapsed="false">
      <c r="A141" s="28"/>
      <c r="B141" s="29"/>
      <c r="C141" s="30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27" t="str">
        <f aca="false">IF($A141="","",SUM($D141:$AA141))</f>
        <v/>
      </c>
    </row>
    <row r="142" customFormat="false" ht="15" hidden="false" customHeight="true" outlineLevel="0" collapsed="false">
      <c r="A142" s="24"/>
      <c r="B142" s="25"/>
      <c r="C142" s="26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27" t="str">
        <f aca="false">IF($A142="","",SUM($D142:$AA142))</f>
        <v/>
      </c>
    </row>
    <row r="143" customFormat="false" ht="15" hidden="false" customHeight="true" outlineLevel="0" collapsed="false">
      <c r="A143" s="28"/>
      <c r="B143" s="29"/>
      <c r="C143" s="30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27" t="str">
        <f aca="false">IF($A143="","",SUM($D143:$AA143))</f>
        <v/>
      </c>
    </row>
    <row r="144" customFormat="false" ht="15" hidden="false" customHeight="true" outlineLevel="0" collapsed="false">
      <c r="A144" s="24"/>
      <c r="B144" s="25"/>
      <c r="C144" s="26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27" t="str">
        <f aca="false">IF($A144="","",SUM($D144:$AA144))</f>
        <v/>
      </c>
    </row>
    <row r="145" customFormat="false" ht="15" hidden="false" customHeight="true" outlineLevel="0" collapsed="false">
      <c r="A145" s="28"/>
      <c r="B145" s="29"/>
      <c r="C145" s="30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27" t="str">
        <f aca="false">IF($A145="","",SUM($D145:$AA145))</f>
        <v/>
      </c>
    </row>
    <row r="146" customFormat="false" ht="15" hidden="false" customHeight="true" outlineLevel="0" collapsed="false">
      <c r="A146" s="24"/>
      <c r="B146" s="25"/>
      <c r="C146" s="26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27" t="str">
        <f aca="false">IF($A146="","",SUM($D146:$AA146))</f>
        <v/>
      </c>
    </row>
    <row r="147" customFormat="false" ht="15" hidden="false" customHeight="true" outlineLevel="0" collapsed="false">
      <c r="A147" s="28"/>
      <c r="B147" s="29"/>
      <c r="C147" s="30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27" t="str">
        <f aca="false">IF($A147="","",SUM($D147:$AA147))</f>
        <v/>
      </c>
    </row>
    <row r="148" customFormat="false" ht="15" hidden="false" customHeight="true" outlineLevel="0" collapsed="false">
      <c r="A148" s="24"/>
      <c r="B148" s="25"/>
      <c r="C148" s="26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27" t="str">
        <f aca="false">IF($A148="","",SUM($D148:$AA148))</f>
        <v/>
      </c>
    </row>
    <row r="149" customFormat="false" ht="15" hidden="false" customHeight="true" outlineLevel="0" collapsed="false">
      <c r="A149" s="28"/>
      <c r="B149" s="29"/>
      <c r="C149" s="30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27" t="str">
        <f aca="false">IF($A149="","",SUM($D149:$AA149))</f>
        <v/>
      </c>
    </row>
    <row r="150" customFormat="false" ht="15" hidden="false" customHeight="true" outlineLevel="0" collapsed="false">
      <c r="A150" s="24"/>
      <c r="B150" s="25"/>
      <c r="C150" s="26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27" t="str">
        <f aca="false">IF($A150="","",SUM($D150:$AA150))</f>
        <v/>
      </c>
    </row>
    <row r="151" customFormat="false" ht="15" hidden="false" customHeight="true" outlineLevel="0" collapsed="false">
      <c r="A151" s="28"/>
      <c r="B151" s="29"/>
      <c r="C151" s="30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27" t="str">
        <f aca="false">IF($A151="","",SUM($D151:$AA151))</f>
        <v/>
      </c>
    </row>
    <row r="152" customFormat="false" ht="15" hidden="false" customHeight="true" outlineLevel="0" collapsed="false">
      <c r="A152" s="24"/>
      <c r="B152" s="25"/>
      <c r="C152" s="26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27" t="str">
        <f aca="false">IF($A152="","",SUM($D152:$AA152))</f>
        <v/>
      </c>
    </row>
    <row r="153" customFormat="false" ht="15" hidden="false" customHeight="true" outlineLevel="0" collapsed="false">
      <c r="A153" s="28"/>
      <c r="B153" s="29"/>
      <c r="C153" s="30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27" t="str">
        <f aca="false">IF($A153="","",SUM($D153:$AA153))</f>
        <v/>
      </c>
    </row>
    <row r="154" customFormat="false" ht="15" hidden="false" customHeight="true" outlineLevel="0" collapsed="false">
      <c r="A154" s="24"/>
      <c r="B154" s="25"/>
      <c r="C154" s="26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27" t="str">
        <f aca="false">IF($A154="","",SUM($D154:$AA154))</f>
        <v/>
      </c>
    </row>
    <row r="155" customFormat="false" ht="15" hidden="false" customHeight="true" outlineLevel="0" collapsed="false">
      <c r="A155" s="28"/>
      <c r="B155" s="29"/>
      <c r="C155" s="30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27" t="str">
        <f aca="false">IF($A155="","",SUM($D155:$AA155))</f>
        <v/>
      </c>
    </row>
    <row r="156" customFormat="false" ht="15" hidden="false" customHeight="true" outlineLevel="0" collapsed="false">
      <c r="A156" s="24"/>
      <c r="B156" s="25"/>
      <c r="C156" s="26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27" t="str">
        <f aca="false">IF($A156="","",SUM($D156:$AA156))</f>
        <v/>
      </c>
    </row>
    <row r="157" customFormat="false" ht="15" hidden="false" customHeight="true" outlineLevel="0" collapsed="false">
      <c r="A157" s="28"/>
      <c r="B157" s="29"/>
      <c r="C157" s="30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27" t="str">
        <f aca="false">IF($A157="","",SUM($D157:$AA157))</f>
        <v/>
      </c>
    </row>
    <row r="158" customFormat="false" ht="15" hidden="false" customHeight="true" outlineLevel="0" collapsed="false">
      <c r="A158" s="24"/>
      <c r="B158" s="25"/>
      <c r="C158" s="26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27" t="str">
        <f aca="false">IF($A158="","",SUM($D158:$AA158))</f>
        <v/>
      </c>
    </row>
    <row r="159" customFormat="false" ht="15" hidden="false" customHeight="true" outlineLevel="0" collapsed="false">
      <c r="A159" s="28"/>
      <c r="B159" s="29"/>
      <c r="C159" s="30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27" t="str">
        <f aca="false">IF($A159="","",SUM($D159:$AA159))</f>
        <v/>
      </c>
    </row>
    <row r="160" customFormat="false" ht="15" hidden="false" customHeight="true" outlineLevel="0" collapsed="false">
      <c r="A160" s="24"/>
      <c r="B160" s="25"/>
      <c r="C160" s="26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27" t="str">
        <f aca="false">IF($A160="","",SUM($D160:$AA160))</f>
        <v/>
      </c>
    </row>
    <row r="161" customFormat="false" ht="15" hidden="false" customHeight="true" outlineLevel="0" collapsed="false">
      <c r="A161" s="28"/>
      <c r="B161" s="29"/>
      <c r="C161" s="30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27" t="str">
        <f aca="false">IF($A161="","",SUM($D161:$AA161))</f>
        <v/>
      </c>
    </row>
    <row r="162" customFormat="false" ht="15" hidden="false" customHeight="true" outlineLevel="0" collapsed="false">
      <c r="A162" s="24"/>
      <c r="B162" s="25"/>
      <c r="C162" s="26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27" t="str">
        <f aca="false">IF($A162="","",SUM($D162:$AA162))</f>
        <v/>
      </c>
    </row>
    <row r="163" customFormat="false" ht="15" hidden="false" customHeight="true" outlineLevel="0" collapsed="false">
      <c r="A163" s="28"/>
      <c r="B163" s="29"/>
      <c r="C163" s="30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27" t="str">
        <f aca="false">IF($A163="","",SUM($D163:$AA163))</f>
        <v/>
      </c>
    </row>
    <row r="164" customFormat="false" ht="15" hidden="false" customHeight="true" outlineLevel="0" collapsed="false">
      <c r="A164" s="24"/>
      <c r="B164" s="25"/>
      <c r="C164" s="26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27" t="str">
        <f aca="false">IF($A164="","",SUM($D164:$AA164))</f>
        <v/>
      </c>
    </row>
    <row r="165" customFormat="false" ht="15" hidden="false" customHeight="true" outlineLevel="0" collapsed="false">
      <c r="A165" s="28"/>
      <c r="B165" s="29"/>
      <c r="C165" s="30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27" t="str">
        <f aca="false">IF($A165="","",SUM($D165:$AA165))</f>
        <v/>
      </c>
    </row>
    <row r="166" customFormat="false" ht="15" hidden="false" customHeight="true" outlineLevel="0" collapsed="false">
      <c r="A166" s="24"/>
      <c r="B166" s="25"/>
      <c r="C166" s="26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27" t="str">
        <f aca="false">IF($A166="","",SUM($D166:$AA166))</f>
        <v/>
      </c>
    </row>
    <row r="167" customFormat="false" ht="15" hidden="false" customHeight="true" outlineLevel="0" collapsed="false">
      <c r="A167" s="28"/>
      <c r="B167" s="29"/>
      <c r="C167" s="30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27" t="str">
        <f aca="false">IF($A167="","",SUM($D167:$AA167))</f>
        <v/>
      </c>
    </row>
    <row r="168" customFormat="false" ht="15" hidden="false" customHeight="true" outlineLevel="0" collapsed="false">
      <c r="A168" s="24"/>
      <c r="B168" s="25"/>
      <c r="C168" s="26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27" t="str">
        <f aca="false">IF($A168="","",SUM($D168:$AA168))</f>
        <v/>
      </c>
    </row>
    <row r="169" customFormat="false" ht="15" hidden="false" customHeight="true" outlineLevel="0" collapsed="false">
      <c r="A169" s="28"/>
      <c r="B169" s="29"/>
      <c r="C169" s="30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27" t="str">
        <f aca="false">IF($A169="","",SUM($D169:$AA169))</f>
        <v/>
      </c>
    </row>
    <row r="170" customFormat="false" ht="15" hidden="false" customHeight="true" outlineLevel="0" collapsed="false">
      <c r="A170" s="24"/>
      <c r="B170" s="25"/>
      <c r="C170" s="26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27" t="str">
        <f aca="false">IF($A170="","",SUM($D170:$AA170))</f>
        <v/>
      </c>
    </row>
    <row r="171" customFormat="false" ht="15" hidden="false" customHeight="true" outlineLevel="0" collapsed="false">
      <c r="A171" s="28"/>
      <c r="B171" s="29"/>
      <c r="C171" s="30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27" t="str">
        <f aca="false">IF($A171="","",SUM($D171:$AA171))</f>
        <v/>
      </c>
    </row>
    <row r="172" customFormat="false" ht="15" hidden="false" customHeight="true" outlineLevel="0" collapsed="false">
      <c r="A172" s="24"/>
      <c r="B172" s="25"/>
      <c r="C172" s="26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27" t="str">
        <f aca="false">IF($A172="","",SUM($D172:$AA172))</f>
        <v/>
      </c>
    </row>
    <row r="173" customFormat="false" ht="15" hidden="false" customHeight="true" outlineLevel="0" collapsed="false">
      <c r="A173" s="28"/>
      <c r="B173" s="29"/>
      <c r="C173" s="30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27" t="str">
        <f aca="false">IF($A173="","",SUM($D173:$AA173))</f>
        <v/>
      </c>
    </row>
    <row r="174" customFormat="false" ht="15" hidden="false" customHeight="true" outlineLevel="0" collapsed="false">
      <c r="A174" s="24"/>
      <c r="B174" s="25"/>
      <c r="C174" s="26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27" t="str">
        <f aca="false">IF($A174="","",SUM($D174:$AA174))</f>
        <v/>
      </c>
    </row>
    <row r="175" customFormat="false" ht="15" hidden="false" customHeight="true" outlineLevel="0" collapsed="false">
      <c r="A175" s="28"/>
      <c r="B175" s="29"/>
      <c r="C175" s="30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27" t="str">
        <f aca="false">IF($A175="","",SUM($D175:$AA175))</f>
        <v/>
      </c>
    </row>
    <row r="176" customFormat="false" ht="15" hidden="false" customHeight="true" outlineLevel="0" collapsed="false">
      <c r="A176" s="24"/>
      <c r="B176" s="25"/>
      <c r="C176" s="26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27" t="str">
        <f aca="false">IF($A176="","",SUM($D176:$AA176))</f>
        <v/>
      </c>
    </row>
    <row r="177" customFormat="false" ht="15" hidden="false" customHeight="true" outlineLevel="0" collapsed="false">
      <c r="A177" s="28"/>
      <c r="B177" s="29"/>
      <c r="C177" s="30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27" t="str">
        <f aca="false">IF($A177="","",SUM($D177:$AA177))</f>
        <v/>
      </c>
    </row>
    <row r="178" customFormat="false" ht="15" hidden="false" customHeight="true" outlineLevel="0" collapsed="false">
      <c r="A178" s="24"/>
      <c r="B178" s="25"/>
      <c r="C178" s="26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27" t="str">
        <f aca="false">IF($A178="","",SUM($D178:$AA178))</f>
        <v/>
      </c>
    </row>
    <row r="179" customFormat="false" ht="15" hidden="false" customHeight="true" outlineLevel="0" collapsed="false">
      <c r="A179" s="28"/>
      <c r="B179" s="29"/>
      <c r="C179" s="30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27" t="str">
        <f aca="false">IF($A179="","",SUM($D179:$AA179))</f>
        <v/>
      </c>
    </row>
    <row r="180" customFormat="false" ht="15" hidden="false" customHeight="true" outlineLevel="0" collapsed="false">
      <c r="A180" s="24"/>
      <c r="B180" s="25"/>
      <c r="C180" s="26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27" t="str">
        <f aca="false">IF($A180="","",SUM($D180:$AA180))</f>
        <v/>
      </c>
    </row>
    <row r="181" customFormat="false" ht="15" hidden="false" customHeight="true" outlineLevel="0" collapsed="false">
      <c r="A181" s="28"/>
      <c r="B181" s="29"/>
      <c r="C181" s="30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27" t="str">
        <f aca="false">IF($A181="","",SUM($D181:$AA181))</f>
        <v/>
      </c>
    </row>
    <row r="182" customFormat="false" ht="15" hidden="false" customHeight="true" outlineLevel="0" collapsed="false">
      <c r="A182" s="24"/>
      <c r="B182" s="25"/>
      <c r="C182" s="26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27" t="str">
        <f aca="false">IF($A182="","",SUM($D182:$AA182))</f>
        <v/>
      </c>
    </row>
    <row r="183" customFormat="false" ht="15" hidden="false" customHeight="true" outlineLevel="0" collapsed="false">
      <c r="A183" s="28"/>
      <c r="B183" s="29"/>
      <c r="C183" s="30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27" t="str">
        <f aca="false">IF($A183="","",SUM($D183:$AA183))</f>
        <v/>
      </c>
    </row>
    <row r="184" customFormat="false" ht="15" hidden="false" customHeight="true" outlineLevel="0" collapsed="false">
      <c r="A184" s="24"/>
      <c r="B184" s="25"/>
      <c r="C184" s="26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27" t="str">
        <f aca="false">IF($A184="","",SUM($D184:$AA184))</f>
        <v/>
      </c>
    </row>
    <row r="185" customFormat="false" ht="15" hidden="false" customHeight="true" outlineLevel="0" collapsed="false">
      <c r="A185" s="28"/>
      <c r="B185" s="29"/>
      <c r="C185" s="30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27" t="str">
        <f aca="false">IF($A185="","",SUM($D185:$AA185))</f>
        <v/>
      </c>
    </row>
    <row r="186" customFormat="false" ht="15" hidden="false" customHeight="true" outlineLevel="0" collapsed="false">
      <c r="A186" s="24"/>
      <c r="B186" s="25"/>
      <c r="C186" s="26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27" t="str">
        <f aca="false">IF($A186="","",SUM($D186:$AA186))</f>
        <v/>
      </c>
    </row>
    <row r="187" customFormat="false" ht="15" hidden="false" customHeight="true" outlineLevel="0" collapsed="false">
      <c r="A187" s="28"/>
      <c r="B187" s="29"/>
      <c r="C187" s="30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27" t="str">
        <f aca="false">IF($A187="","",SUM($D187:$AA187))</f>
        <v/>
      </c>
    </row>
    <row r="188" customFormat="false" ht="15" hidden="false" customHeight="true" outlineLevel="0" collapsed="false">
      <c r="A188" s="24"/>
      <c r="B188" s="25"/>
      <c r="C188" s="26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27" t="str">
        <f aca="false">IF($A188="","",SUM($D188:$AA188))</f>
        <v/>
      </c>
    </row>
    <row r="189" customFormat="false" ht="15" hidden="false" customHeight="true" outlineLevel="0" collapsed="false">
      <c r="A189" s="28"/>
      <c r="B189" s="29"/>
      <c r="C189" s="30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27" t="str">
        <f aca="false">IF($A189="","",SUM($D189:$AA189))</f>
        <v/>
      </c>
    </row>
    <row r="190" customFormat="false" ht="15" hidden="false" customHeight="true" outlineLevel="0" collapsed="false">
      <c r="A190" s="24"/>
      <c r="B190" s="25"/>
      <c r="C190" s="26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27" t="str">
        <f aca="false">IF($A190="","",SUM($D190:$AA190))</f>
        <v/>
      </c>
    </row>
    <row r="191" customFormat="false" ht="15" hidden="false" customHeight="true" outlineLevel="0" collapsed="false">
      <c r="A191" s="28"/>
      <c r="B191" s="29"/>
      <c r="C191" s="30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27" t="str">
        <f aca="false">IF($A191="","",SUM($D191:$AA191))</f>
        <v/>
      </c>
    </row>
    <row r="192" customFormat="false" ht="15" hidden="false" customHeight="true" outlineLevel="0" collapsed="false">
      <c r="A192" s="24"/>
      <c r="B192" s="25"/>
      <c r="C192" s="26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27" t="str">
        <f aca="false">IF($A192="","",SUM($D192:$AA192))</f>
        <v/>
      </c>
    </row>
    <row r="193" customFormat="false" ht="15" hidden="false" customHeight="true" outlineLevel="0" collapsed="false">
      <c r="A193" s="28"/>
      <c r="B193" s="29"/>
      <c r="C193" s="30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27" t="str">
        <f aca="false">IF($A193="","",SUM($D193:$AA193))</f>
        <v/>
      </c>
    </row>
    <row r="194" customFormat="false" ht="15" hidden="false" customHeight="true" outlineLevel="0" collapsed="false">
      <c r="A194" s="24"/>
      <c r="B194" s="25"/>
      <c r="C194" s="26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27" t="str">
        <f aca="false">IF($A194="","",SUM($D194:$AA194))</f>
        <v/>
      </c>
    </row>
    <row r="195" customFormat="false" ht="15" hidden="false" customHeight="true" outlineLevel="0" collapsed="false">
      <c r="A195" s="28"/>
      <c r="B195" s="29"/>
      <c r="C195" s="30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27" t="str">
        <f aca="false">IF($A195="","",SUM($D195:$AA195))</f>
        <v/>
      </c>
    </row>
    <row r="196" customFormat="false" ht="15" hidden="false" customHeight="true" outlineLevel="0" collapsed="false">
      <c r="A196" s="24"/>
      <c r="B196" s="25"/>
      <c r="C196" s="26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27" t="str">
        <f aca="false">IF($A196="","",SUM($D196:$AA196))</f>
        <v/>
      </c>
    </row>
    <row r="197" customFormat="false" ht="15" hidden="false" customHeight="true" outlineLevel="0" collapsed="false">
      <c r="A197" s="28"/>
      <c r="B197" s="29"/>
      <c r="C197" s="30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27" t="str">
        <f aca="false">IF($A197="","",SUM($D197:$AA197))</f>
        <v/>
      </c>
    </row>
    <row r="198" customFormat="false" ht="15" hidden="false" customHeight="true" outlineLevel="0" collapsed="false">
      <c r="A198" s="24"/>
      <c r="B198" s="25"/>
      <c r="C198" s="26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27" t="str">
        <f aca="false">IF($A198="","",SUM($D198:$AA198))</f>
        <v/>
      </c>
    </row>
    <row r="199" customFormat="false" ht="15" hidden="false" customHeight="true" outlineLevel="0" collapsed="false">
      <c r="A199" s="28"/>
      <c r="B199" s="29"/>
      <c r="C199" s="30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27" t="str">
        <f aca="false">IF($A199="","",SUM($D199:$AA199))</f>
        <v/>
      </c>
    </row>
    <row r="200" customFormat="false" ht="15" hidden="false" customHeight="true" outlineLevel="0" collapsed="false">
      <c r="A200" s="24"/>
      <c r="B200" s="25"/>
      <c r="C200" s="26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27" t="str">
        <f aca="false">IF($A200="","",SUM($D200:$AA200))</f>
        <v/>
      </c>
    </row>
    <row r="201" customFormat="false" ht="15" hidden="false" customHeight="true" outlineLevel="0" collapsed="false">
      <c r="A201" s="28"/>
      <c r="B201" s="29"/>
      <c r="C201" s="30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27" t="str">
        <f aca="false">IF($A201="","",SUM($D201:$AA201))</f>
        <v/>
      </c>
    </row>
    <row r="202" customFormat="false" ht="15" hidden="false" customHeight="true" outlineLevel="0" collapsed="false">
      <c r="A202" s="24"/>
      <c r="B202" s="25"/>
      <c r="C202" s="26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27" t="str">
        <f aca="false">IF($A202="","",SUM($D202:$AA202))</f>
        <v/>
      </c>
    </row>
    <row r="203" customFormat="false" ht="15" hidden="false" customHeight="true" outlineLevel="0" collapsed="false">
      <c r="A203" s="28"/>
      <c r="B203" s="29"/>
      <c r="C203" s="30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27" t="str">
        <f aca="false">IF($A203="","",SUM($D203:$AA203))</f>
        <v/>
      </c>
    </row>
    <row r="204" customFormat="false" ht="15" hidden="false" customHeight="true" outlineLevel="0" collapsed="false">
      <c r="A204" s="24"/>
      <c r="B204" s="25"/>
      <c r="C204" s="26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27" t="str">
        <f aca="false">IF($A204="","",SUM($D204:$AA204))</f>
        <v/>
      </c>
    </row>
    <row r="205" customFormat="false" ht="15" hidden="false" customHeight="true" outlineLevel="0" collapsed="false">
      <c r="A205" s="28"/>
      <c r="B205" s="29"/>
      <c r="C205" s="30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27" t="str">
        <f aca="false">IF($A205="","",SUM($D205:$AA205))</f>
        <v/>
      </c>
    </row>
    <row r="206" customFormat="false" ht="15" hidden="false" customHeight="true" outlineLevel="0" collapsed="false">
      <c r="A206" s="24"/>
      <c r="B206" s="25"/>
      <c r="C206" s="26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27" t="str">
        <f aca="false">IF($A206="","",SUM($D206:$AA206))</f>
        <v/>
      </c>
    </row>
    <row r="207" customFormat="false" ht="15" hidden="false" customHeight="true" outlineLevel="0" collapsed="false">
      <c r="A207" s="28"/>
      <c r="B207" s="29"/>
      <c r="C207" s="30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27" t="str">
        <f aca="false">IF($A207="","",SUM($D207:$AA207))</f>
        <v/>
      </c>
    </row>
    <row r="208" customFormat="false" ht="15" hidden="false" customHeight="true" outlineLevel="0" collapsed="false">
      <c r="A208" s="24"/>
      <c r="B208" s="25"/>
      <c r="C208" s="26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27" t="str">
        <f aca="false">IF($A208="","",SUM($D208:$AA208))</f>
        <v/>
      </c>
    </row>
    <row r="209" customFormat="false" ht="15" hidden="false" customHeight="true" outlineLevel="0" collapsed="false">
      <c r="A209" s="28"/>
      <c r="B209" s="29"/>
      <c r="C209" s="30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27" t="str">
        <f aca="false">IF($A209="","",SUM($D209:$AA209))</f>
        <v/>
      </c>
    </row>
    <row r="210" customFormat="false" ht="15" hidden="false" customHeight="true" outlineLevel="0" collapsed="false">
      <c r="A210" s="24"/>
      <c r="B210" s="25"/>
      <c r="C210" s="26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27" t="str">
        <f aca="false">IF($A210="","",SUM($D210:$AA210))</f>
        <v/>
      </c>
    </row>
    <row r="211" customFormat="false" ht="15" hidden="false" customHeight="true" outlineLevel="0" collapsed="false">
      <c r="A211" s="28"/>
      <c r="B211" s="29"/>
      <c r="C211" s="30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27" t="str">
        <f aca="false">IF($A211="","",SUM($D211:$AA211))</f>
        <v/>
      </c>
    </row>
    <row r="212" customFormat="false" ht="15" hidden="false" customHeight="true" outlineLevel="0" collapsed="false">
      <c r="A212" s="24"/>
      <c r="B212" s="25"/>
      <c r="C212" s="26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27" t="str">
        <f aca="false">IF($A212="","",SUM($D212:$AA212))</f>
        <v/>
      </c>
    </row>
    <row r="213" customFormat="false" ht="15" hidden="false" customHeight="true" outlineLevel="0" collapsed="false">
      <c r="A213" s="28"/>
      <c r="B213" s="29"/>
      <c r="C213" s="30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27" t="str">
        <f aca="false">IF($A213="","",SUM($D213:$AA213))</f>
        <v/>
      </c>
    </row>
    <row r="214" customFormat="false" ht="15" hidden="false" customHeight="true" outlineLevel="0" collapsed="false">
      <c r="A214" s="24"/>
      <c r="B214" s="25"/>
      <c r="C214" s="26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27" t="str">
        <f aca="false">IF($A214="","",SUM($D214:$AA214))</f>
        <v/>
      </c>
    </row>
    <row r="215" customFormat="false" ht="15" hidden="false" customHeight="true" outlineLevel="0" collapsed="false">
      <c r="A215" s="28"/>
      <c r="B215" s="29"/>
      <c r="C215" s="30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27" t="str">
        <f aca="false">IF($A215="","",SUM($D215:$AA215))</f>
        <v/>
      </c>
    </row>
    <row r="216" customFormat="false" ht="15" hidden="false" customHeight="true" outlineLevel="0" collapsed="false">
      <c r="A216" s="24"/>
      <c r="B216" s="25"/>
      <c r="C216" s="26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27" t="str">
        <f aca="false">IF($A216="","",SUM($D216:$AA216))</f>
        <v/>
      </c>
    </row>
    <row r="217" customFormat="false" ht="15" hidden="false" customHeight="true" outlineLevel="0" collapsed="false">
      <c r="A217" s="28"/>
      <c r="B217" s="29"/>
      <c r="C217" s="30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27" t="str">
        <f aca="false">IF($A217="","",SUM($D217:$AA217))</f>
        <v/>
      </c>
    </row>
    <row r="218" customFormat="false" ht="15" hidden="false" customHeight="true" outlineLevel="0" collapsed="false">
      <c r="A218" s="24"/>
      <c r="B218" s="25"/>
      <c r="C218" s="26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27" t="str">
        <f aca="false">IF($A218="","",SUM($D218:$AA218))</f>
        <v/>
      </c>
    </row>
    <row r="219" customFormat="false" ht="15" hidden="false" customHeight="true" outlineLevel="0" collapsed="false">
      <c r="A219" s="28"/>
      <c r="B219" s="29"/>
      <c r="C219" s="30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27" t="str">
        <f aca="false">IF($A219="","",SUM($D219:$AA219))</f>
        <v/>
      </c>
    </row>
    <row r="220" customFormat="false" ht="15" hidden="false" customHeight="true" outlineLevel="0" collapsed="false">
      <c r="A220" s="24"/>
      <c r="B220" s="25"/>
      <c r="C220" s="26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27" t="str">
        <f aca="false">IF($A220="","",SUM($D220:$AA220))</f>
        <v/>
      </c>
    </row>
    <row r="221" customFormat="false" ht="15" hidden="false" customHeight="true" outlineLevel="0" collapsed="false">
      <c r="A221" s="28"/>
      <c r="B221" s="29"/>
      <c r="C221" s="30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27" t="str">
        <f aca="false">IF($A221="","",SUM($D221:$AA221))</f>
        <v/>
      </c>
    </row>
    <row r="222" customFormat="false" ht="15" hidden="false" customHeight="true" outlineLevel="0" collapsed="false">
      <c r="A222" s="24"/>
      <c r="B222" s="25"/>
      <c r="C222" s="26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27" t="str">
        <f aca="false">IF($A222="","",SUM($D222:$AA222))</f>
        <v/>
      </c>
    </row>
    <row r="223" customFormat="false" ht="15" hidden="false" customHeight="true" outlineLevel="0" collapsed="false">
      <c r="A223" s="28"/>
      <c r="B223" s="29"/>
      <c r="C223" s="30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27" t="str">
        <f aca="false">IF($A223="","",SUM($D223:$AA223))</f>
        <v/>
      </c>
    </row>
    <row r="224" customFormat="false" ht="15" hidden="false" customHeight="true" outlineLevel="0" collapsed="false">
      <c r="A224" s="24"/>
      <c r="B224" s="25"/>
      <c r="C224" s="26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27" t="str">
        <f aca="false">IF($A224="","",SUM($D224:$AA224))</f>
        <v/>
      </c>
    </row>
    <row r="225" customFormat="false" ht="15" hidden="false" customHeight="true" outlineLevel="0" collapsed="false">
      <c r="A225" s="28"/>
      <c r="B225" s="29"/>
      <c r="C225" s="30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27" t="str">
        <f aca="false">IF($A225="","",SUM($D225:$AA225))</f>
        <v/>
      </c>
    </row>
    <row r="226" customFormat="false" ht="15" hidden="false" customHeight="true" outlineLevel="0" collapsed="false">
      <c r="A226" s="24"/>
      <c r="B226" s="25"/>
      <c r="C226" s="26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27" t="str">
        <f aca="false">IF($A226="","",SUM($D226:$AA226))</f>
        <v/>
      </c>
    </row>
    <row r="227" customFormat="false" ht="15" hidden="false" customHeight="true" outlineLevel="0" collapsed="false">
      <c r="A227" s="28"/>
      <c r="B227" s="29"/>
      <c r="C227" s="30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27" t="str">
        <f aca="false">IF($A227="","",SUM($D227:$AA227))</f>
        <v/>
      </c>
    </row>
    <row r="228" customFormat="false" ht="15" hidden="false" customHeight="true" outlineLevel="0" collapsed="false">
      <c r="A228" s="24"/>
      <c r="B228" s="25"/>
      <c r="C228" s="26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27" t="str">
        <f aca="false">IF($A228="","",SUM($D228:$AA228))</f>
        <v/>
      </c>
    </row>
    <row r="229" customFormat="false" ht="15" hidden="false" customHeight="true" outlineLevel="0" collapsed="false">
      <c r="A229" s="28"/>
      <c r="B229" s="29"/>
      <c r="C229" s="30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27" t="str">
        <f aca="false">IF($A229="","",SUM($D229:$AA229))</f>
        <v/>
      </c>
    </row>
    <row r="230" customFormat="false" ht="15" hidden="false" customHeight="true" outlineLevel="0" collapsed="false">
      <c r="A230" s="24"/>
      <c r="B230" s="25"/>
      <c r="C230" s="26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27" t="str">
        <f aca="false">IF($A230="","",SUM($D230:$AA230))</f>
        <v/>
      </c>
    </row>
    <row r="231" customFormat="false" ht="15" hidden="false" customHeight="true" outlineLevel="0" collapsed="false">
      <c r="A231" s="28"/>
      <c r="B231" s="29"/>
      <c r="C231" s="30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27" t="str">
        <f aca="false">IF($A231="","",SUM($D231:$AA231))</f>
        <v/>
      </c>
    </row>
    <row r="232" customFormat="false" ht="15" hidden="false" customHeight="true" outlineLevel="0" collapsed="false">
      <c r="A232" s="24"/>
      <c r="B232" s="25"/>
      <c r="C232" s="26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27" t="str">
        <f aca="false">IF($A232="","",SUM($D232:$AA232))</f>
        <v/>
      </c>
    </row>
    <row r="233" customFormat="false" ht="15" hidden="false" customHeight="true" outlineLevel="0" collapsed="false">
      <c r="A233" s="28"/>
      <c r="B233" s="29"/>
      <c r="C233" s="30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27" t="str">
        <f aca="false">IF($A233="","",SUM($D233:$AA233))</f>
        <v/>
      </c>
    </row>
    <row r="234" customFormat="false" ht="15" hidden="false" customHeight="true" outlineLevel="0" collapsed="false">
      <c r="A234" s="24"/>
      <c r="B234" s="25"/>
      <c r="C234" s="26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27" t="str">
        <f aca="false">IF($A234="","",SUM($D234:$AA234))</f>
        <v/>
      </c>
    </row>
    <row r="235" customFormat="false" ht="15" hidden="false" customHeight="true" outlineLevel="0" collapsed="false">
      <c r="A235" s="28"/>
      <c r="B235" s="29"/>
      <c r="C235" s="30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27" t="str">
        <f aca="false">IF($A235="","",SUM($D235:$AA235))</f>
        <v/>
      </c>
    </row>
    <row r="236" customFormat="false" ht="15" hidden="false" customHeight="true" outlineLevel="0" collapsed="false">
      <c r="A236" s="24"/>
      <c r="B236" s="25"/>
      <c r="C236" s="26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27" t="str">
        <f aca="false">IF($A236="","",SUM($D236:$AA236))</f>
        <v/>
      </c>
    </row>
    <row r="237" customFormat="false" ht="15" hidden="false" customHeight="true" outlineLevel="0" collapsed="false">
      <c r="A237" s="28"/>
      <c r="B237" s="29"/>
      <c r="C237" s="30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27" t="str">
        <f aca="false">IF($A237="","",SUM($D237:$AA237))</f>
        <v/>
      </c>
    </row>
    <row r="238" customFormat="false" ht="15" hidden="false" customHeight="true" outlineLevel="0" collapsed="false">
      <c r="A238" s="24"/>
      <c r="B238" s="25"/>
      <c r="C238" s="26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27" t="str">
        <f aca="false">IF($A238="","",SUM($D238:$AA238))</f>
        <v/>
      </c>
    </row>
    <row r="239" customFormat="false" ht="15" hidden="false" customHeight="true" outlineLevel="0" collapsed="false">
      <c r="A239" s="28"/>
      <c r="B239" s="29"/>
      <c r="C239" s="30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27" t="str">
        <f aca="false">IF($A239="","",SUM($D239:$AA239))</f>
        <v/>
      </c>
    </row>
    <row r="240" customFormat="false" ht="15" hidden="false" customHeight="true" outlineLevel="0" collapsed="false">
      <c r="A240" s="24"/>
      <c r="B240" s="25"/>
      <c r="C240" s="26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27" t="str">
        <f aca="false">IF($A240="","",SUM($D240:$AA240))</f>
        <v/>
      </c>
    </row>
    <row r="241" customFormat="false" ht="15" hidden="false" customHeight="true" outlineLevel="0" collapsed="false">
      <c r="A241" s="28"/>
      <c r="B241" s="29"/>
      <c r="C241" s="30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27" t="str">
        <f aca="false">IF($A241="","",SUM($D241:$AA241))</f>
        <v/>
      </c>
    </row>
    <row r="242" customFormat="false" ht="15" hidden="false" customHeight="true" outlineLevel="0" collapsed="false">
      <c r="A242" s="24"/>
      <c r="B242" s="25"/>
      <c r="C242" s="26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27" t="str">
        <f aca="false">IF($A242="","",SUM($D242:$AA242))</f>
        <v/>
      </c>
    </row>
    <row r="243" customFormat="false" ht="15" hidden="false" customHeight="true" outlineLevel="0" collapsed="false">
      <c r="A243" s="28"/>
      <c r="B243" s="29"/>
      <c r="C243" s="30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27" t="str">
        <f aca="false">IF($A243="","",SUM($D243:$AA243))</f>
        <v/>
      </c>
    </row>
    <row r="244" customFormat="false" ht="15" hidden="false" customHeight="true" outlineLevel="0" collapsed="false">
      <c r="A244" s="24"/>
      <c r="B244" s="25"/>
      <c r="C244" s="26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27" t="str">
        <f aca="false">IF($A244="","",SUM($D244:$AA244))</f>
        <v/>
      </c>
    </row>
    <row r="245" customFormat="false" ht="15" hidden="false" customHeight="true" outlineLevel="0" collapsed="false">
      <c r="A245" s="28"/>
      <c r="B245" s="29"/>
      <c r="C245" s="30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27" t="str">
        <f aca="false">IF($A245="","",SUM($D245:$AA245))</f>
        <v/>
      </c>
    </row>
    <row r="246" customFormat="false" ht="15" hidden="false" customHeight="true" outlineLevel="0" collapsed="false">
      <c r="A246" s="24"/>
      <c r="B246" s="25"/>
      <c r="C246" s="26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27" t="str">
        <f aca="false">IF($A246="","",SUM($D246:$AA246))</f>
        <v/>
      </c>
    </row>
    <row r="247" customFormat="false" ht="15" hidden="false" customHeight="true" outlineLevel="0" collapsed="false">
      <c r="A247" s="28"/>
      <c r="B247" s="29"/>
      <c r="C247" s="30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27" t="str">
        <f aca="false">IF($A247="","",SUM($D247:$AA247))</f>
        <v/>
      </c>
    </row>
    <row r="248" customFormat="false" ht="15" hidden="false" customHeight="true" outlineLevel="0" collapsed="false">
      <c r="A248" s="24"/>
      <c r="B248" s="25"/>
      <c r="C248" s="26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27" t="str">
        <f aca="false">IF($A248="","",SUM($D248:$AA248))</f>
        <v/>
      </c>
    </row>
    <row r="249" customFormat="false" ht="15" hidden="false" customHeight="true" outlineLevel="0" collapsed="false">
      <c r="A249" s="28"/>
      <c r="B249" s="29"/>
      <c r="C249" s="30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27" t="str">
        <f aca="false">IF($A249="","",SUM($D249:$AA249))</f>
        <v/>
      </c>
    </row>
    <row r="250" customFormat="false" ht="15" hidden="false" customHeight="true" outlineLevel="0" collapsed="false">
      <c r="A250" s="24"/>
      <c r="B250" s="25"/>
      <c r="C250" s="26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27" t="str">
        <f aca="false">IF($A250="","",SUM($D250:$AA250))</f>
        <v/>
      </c>
    </row>
    <row r="251" customFormat="false" ht="15" hidden="false" customHeight="true" outlineLevel="0" collapsed="false">
      <c r="A251" s="28"/>
      <c r="B251" s="29"/>
      <c r="C251" s="30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27" t="str">
        <f aca="false">IF($A251="","",SUM($D251:$AA251))</f>
        <v/>
      </c>
    </row>
    <row r="252" customFormat="false" ht="15" hidden="false" customHeight="true" outlineLevel="0" collapsed="false">
      <c r="A252" s="24"/>
      <c r="B252" s="25"/>
      <c r="C252" s="26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27" t="str">
        <f aca="false">IF($A252="","",SUM($D252:$AA252))</f>
        <v/>
      </c>
    </row>
    <row r="253" customFormat="false" ht="15" hidden="false" customHeight="true" outlineLevel="0" collapsed="false">
      <c r="A253" s="28"/>
      <c r="B253" s="29"/>
      <c r="C253" s="30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27" t="str">
        <f aca="false">IF($A253="","",SUM($D253:$AA253))</f>
        <v/>
      </c>
    </row>
    <row r="254" customFormat="false" ht="15" hidden="false" customHeight="true" outlineLevel="0" collapsed="false">
      <c r="A254" s="24"/>
      <c r="B254" s="25"/>
      <c r="C254" s="26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27" t="str">
        <f aca="false">IF($A254="","",SUM($D254:$AA254))</f>
        <v/>
      </c>
    </row>
    <row r="255" customFormat="false" ht="15" hidden="false" customHeight="true" outlineLevel="0" collapsed="false">
      <c r="A255" s="28"/>
      <c r="B255" s="29"/>
      <c r="C255" s="30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27" t="str">
        <f aca="false">IF($A255="","",SUM($D255:$AA255))</f>
        <v/>
      </c>
    </row>
    <row r="256" customFormat="false" ht="15" hidden="false" customHeight="true" outlineLevel="0" collapsed="false">
      <c r="A256" s="24"/>
      <c r="B256" s="25"/>
      <c r="C256" s="26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27" t="str">
        <f aca="false">IF($A256="","",SUM($D256:$AA256))</f>
        <v/>
      </c>
    </row>
    <row r="257" customFormat="false" ht="15" hidden="false" customHeight="true" outlineLevel="0" collapsed="false">
      <c r="A257" s="28"/>
      <c r="B257" s="29"/>
      <c r="C257" s="30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27" t="str">
        <f aca="false">IF($A257="","",SUM($D257:$AA257))</f>
        <v/>
      </c>
    </row>
    <row r="258" customFormat="false" ht="15" hidden="false" customHeight="true" outlineLevel="0" collapsed="false">
      <c r="A258" s="24"/>
      <c r="B258" s="25"/>
      <c r="C258" s="26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27" t="str">
        <f aca="false">IF($A258="","",SUM($D258:$AA258))</f>
        <v/>
      </c>
    </row>
    <row r="259" customFormat="false" ht="15" hidden="false" customHeight="true" outlineLevel="0" collapsed="false">
      <c r="A259" s="28"/>
      <c r="B259" s="29"/>
      <c r="C259" s="30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27" t="str">
        <f aca="false">IF($A259="","",SUM($D259:$AA259))</f>
        <v/>
      </c>
    </row>
    <row r="260" customFormat="false" ht="15" hidden="false" customHeight="true" outlineLevel="0" collapsed="false">
      <c r="A260" s="24"/>
      <c r="B260" s="25"/>
      <c r="C260" s="26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27" t="str">
        <f aca="false">IF($A260="","",SUM($D260:$AA260))</f>
        <v/>
      </c>
    </row>
    <row r="261" customFormat="false" ht="15" hidden="false" customHeight="true" outlineLevel="0" collapsed="false">
      <c r="A261" s="28"/>
      <c r="B261" s="29"/>
      <c r="C261" s="30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27" t="str">
        <f aca="false">IF($A261="","",SUM($D261:$AA261))</f>
        <v/>
      </c>
    </row>
    <row r="262" customFormat="false" ht="15" hidden="false" customHeight="true" outlineLevel="0" collapsed="false">
      <c r="A262" s="24"/>
      <c r="B262" s="25"/>
      <c r="C262" s="26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27" t="str">
        <f aca="false">IF($A262="","",SUM($D262:$AA262))</f>
        <v/>
      </c>
    </row>
    <row r="263" customFormat="false" ht="15" hidden="false" customHeight="true" outlineLevel="0" collapsed="false">
      <c r="A263" s="28"/>
      <c r="B263" s="29"/>
      <c r="C263" s="30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27" t="str">
        <f aca="false">IF($A263="","",SUM($D263:$AA263))</f>
        <v/>
      </c>
    </row>
    <row r="264" customFormat="false" ht="15" hidden="false" customHeight="true" outlineLevel="0" collapsed="false">
      <c r="A264" s="24"/>
      <c r="B264" s="25"/>
      <c r="C264" s="26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27" t="str">
        <f aca="false">IF($A264="","",SUM($D264:$AA264))</f>
        <v/>
      </c>
    </row>
    <row r="265" customFormat="false" ht="15" hidden="false" customHeight="true" outlineLevel="0" collapsed="false">
      <c r="A265" s="28"/>
      <c r="B265" s="29"/>
      <c r="C265" s="30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27" t="str">
        <f aca="false">IF($A265="","",SUM($D265:$AA265))</f>
        <v/>
      </c>
    </row>
    <row r="266" customFormat="false" ht="15" hidden="false" customHeight="true" outlineLevel="0" collapsed="false">
      <c r="A266" s="24"/>
      <c r="B266" s="25"/>
      <c r="C266" s="26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27" t="str">
        <f aca="false">IF($A266="","",SUM($D266:$AA266))</f>
        <v/>
      </c>
    </row>
    <row r="267" customFormat="false" ht="15" hidden="false" customHeight="true" outlineLevel="0" collapsed="false">
      <c r="A267" s="28"/>
      <c r="B267" s="29"/>
      <c r="C267" s="30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27" t="str">
        <f aca="false">IF($A267="","",SUM($D267:$AA267))</f>
        <v/>
      </c>
    </row>
    <row r="268" customFormat="false" ht="15" hidden="false" customHeight="true" outlineLevel="0" collapsed="false">
      <c r="A268" s="24"/>
      <c r="B268" s="25"/>
      <c r="C268" s="26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27" t="str">
        <f aca="false">IF($A268="","",SUM($D268:$AA268))</f>
        <v/>
      </c>
    </row>
    <row r="269" customFormat="false" ht="15" hidden="false" customHeight="true" outlineLevel="0" collapsed="false">
      <c r="A269" s="28"/>
      <c r="B269" s="29"/>
      <c r="C269" s="30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27" t="str">
        <f aca="false">IF($A269="","",SUM($D269:$AA269))</f>
        <v/>
      </c>
    </row>
    <row r="270" customFormat="false" ht="15" hidden="false" customHeight="true" outlineLevel="0" collapsed="false">
      <c r="A270" s="24"/>
      <c r="B270" s="25"/>
      <c r="C270" s="26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27" t="str">
        <f aca="false">IF($A270="","",SUM($D270:$AA270))</f>
        <v/>
      </c>
    </row>
    <row r="271" customFormat="false" ht="15" hidden="false" customHeight="true" outlineLevel="0" collapsed="false">
      <c r="A271" s="28"/>
      <c r="B271" s="29"/>
      <c r="C271" s="30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27" t="str">
        <f aca="false">IF($A271="","",SUM($D271:$AA271))</f>
        <v/>
      </c>
    </row>
    <row r="272" customFormat="false" ht="15" hidden="false" customHeight="true" outlineLevel="0" collapsed="false">
      <c r="A272" s="24"/>
      <c r="B272" s="25"/>
      <c r="C272" s="26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27" t="str">
        <f aca="false">IF($A272="","",SUM($D272:$AA272))</f>
        <v/>
      </c>
    </row>
    <row r="273" customFormat="false" ht="15" hidden="false" customHeight="true" outlineLevel="0" collapsed="false">
      <c r="A273" s="28"/>
      <c r="B273" s="29"/>
      <c r="C273" s="30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27" t="str">
        <f aca="false">IF($A273="","",SUM($D273:$AA273))</f>
        <v/>
      </c>
    </row>
    <row r="274" customFormat="false" ht="15" hidden="false" customHeight="true" outlineLevel="0" collapsed="false">
      <c r="A274" s="24"/>
      <c r="B274" s="25"/>
      <c r="C274" s="26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27" t="str">
        <f aca="false">IF($A274="","",SUM($D274:$AA274))</f>
        <v/>
      </c>
    </row>
    <row r="275" customFormat="false" ht="15" hidden="false" customHeight="true" outlineLevel="0" collapsed="false">
      <c r="A275" s="28"/>
      <c r="B275" s="29"/>
      <c r="C275" s="30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27" t="str">
        <f aca="false">IF($A275="","",SUM($D275:$AA275))</f>
        <v/>
      </c>
    </row>
    <row r="276" customFormat="false" ht="15" hidden="false" customHeight="true" outlineLevel="0" collapsed="false">
      <c r="A276" s="24"/>
      <c r="B276" s="25"/>
      <c r="C276" s="26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27" t="str">
        <f aca="false">IF($A276="","",SUM($D276:$AA276))</f>
        <v/>
      </c>
    </row>
    <row r="277" customFormat="false" ht="15" hidden="false" customHeight="true" outlineLevel="0" collapsed="false">
      <c r="A277" s="28"/>
      <c r="B277" s="29"/>
      <c r="C277" s="30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27" t="str">
        <f aca="false">IF($A277="","",SUM($D277:$AA277))</f>
        <v/>
      </c>
    </row>
    <row r="278" customFormat="false" ht="15" hidden="false" customHeight="true" outlineLevel="0" collapsed="false">
      <c r="A278" s="24"/>
      <c r="B278" s="25"/>
      <c r="C278" s="26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27" t="str">
        <f aca="false">IF($A278="","",SUM($D278:$AA278))</f>
        <v/>
      </c>
    </row>
    <row r="279" customFormat="false" ht="15" hidden="false" customHeight="true" outlineLevel="0" collapsed="false">
      <c r="A279" s="28"/>
      <c r="B279" s="29"/>
      <c r="C279" s="30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27" t="str">
        <f aca="false">IF($A279="","",SUM($D279:$AA279))</f>
        <v/>
      </c>
    </row>
    <row r="280" customFormat="false" ht="15" hidden="false" customHeight="true" outlineLevel="0" collapsed="false">
      <c r="A280" s="24"/>
      <c r="B280" s="25"/>
      <c r="C280" s="26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27" t="str">
        <f aca="false">IF($A280="","",SUM($D280:$AA280))</f>
        <v/>
      </c>
    </row>
    <row r="281" customFormat="false" ht="15" hidden="false" customHeight="true" outlineLevel="0" collapsed="false">
      <c r="A281" s="28"/>
      <c r="B281" s="29"/>
      <c r="C281" s="30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27" t="str">
        <f aca="false">IF($A281="","",SUM($D281:$AA281))</f>
        <v/>
      </c>
    </row>
    <row r="282" customFormat="false" ht="15" hidden="false" customHeight="true" outlineLevel="0" collapsed="false">
      <c r="A282" s="24"/>
      <c r="B282" s="25"/>
      <c r="C282" s="26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27" t="str">
        <f aca="false">IF($A282="","",SUM($D282:$AA282))</f>
        <v/>
      </c>
    </row>
    <row r="283" customFormat="false" ht="15" hidden="false" customHeight="true" outlineLevel="0" collapsed="false">
      <c r="A283" s="28"/>
      <c r="B283" s="29"/>
      <c r="C283" s="30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27" t="str">
        <f aca="false">IF($A283="","",SUM($D283:$AA283))</f>
        <v/>
      </c>
    </row>
    <row r="284" customFormat="false" ht="15" hidden="false" customHeight="true" outlineLevel="0" collapsed="false">
      <c r="A284" s="24"/>
      <c r="B284" s="25"/>
      <c r="C284" s="26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27" t="str">
        <f aca="false">IF($A284="","",SUM($D284:$AA284))</f>
        <v/>
      </c>
    </row>
    <row r="285" customFormat="false" ht="15" hidden="false" customHeight="true" outlineLevel="0" collapsed="false">
      <c r="A285" s="28"/>
      <c r="B285" s="29"/>
      <c r="C285" s="30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27" t="str">
        <f aca="false">IF($A285="","",SUM($D285:$AA285))</f>
        <v/>
      </c>
    </row>
    <row r="286" customFormat="false" ht="15" hidden="false" customHeight="true" outlineLevel="0" collapsed="false">
      <c r="A286" s="24"/>
      <c r="B286" s="25"/>
      <c r="C286" s="26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27" t="str">
        <f aca="false">IF($A286="","",SUM($D286:$AA286))</f>
        <v/>
      </c>
    </row>
    <row r="287" customFormat="false" ht="15" hidden="false" customHeight="true" outlineLevel="0" collapsed="false">
      <c r="A287" s="28"/>
      <c r="B287" s="29"/>
      <c r="C287" s="30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27" t="str">
        <f aca="false">IF($A287="","",SUM($D287:$AA287))</f>
        <v/>
      </c>
    </row>
    <row r="288" customFormat="false" ht="15" hidden="false" customHeight="true" outlineLevel="0" collapsed="false">
      <c r="A288" s="24"/>
      <c r="B288" s="25"/>
      <c r="C288" s="26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27" t="str">
        <f aca="false">IF($A288="","",SUM($D288:$AA288))</f>
        <v/>
      </c>
    </row>
    <row r="289" customFormat="false" ht="15" hidden="false" customHeight="true" outlineLevel="0" collapsed="false">
      <c r="A289" s="28"/>
      <c r="B289" s="29"/>
      <c r="C289" s="30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27" t="str">
        <f aca="false">IF($A289="","",SUM($D289:$AA289))</f>
        <v/>
      </c>
    </row>
    <row r="290" customFormat="false" ht="15" hidden="false" customHeight="true" outlineLevel="0" collapsed="false">
      <c r="A290" s="24"/>
      <c r="B290" s="25"/>
      <c r="C290" s="26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27" t="str">
        <f aca="false">IF($A290="","",SUM($D290:$AA290))</f>
        <v/>
      </c>
    </row>
    <row r="291" customFormat="false" ht="15" hidden="false" customHeight="true" outlineLevel="0" collapsed="false">
      <c r="A291" s="28"/>
      <c r="B291" s="29"/>
      <c r="C291" s="30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27" t="str">
        <f aca="false">IF($A291="","",SUM($D291:$AA291))</f>
        <v/>
      </c>
    </row>
    <row r="292" customFormat="false" ht="15" hidden="false" customHeight="true" outlineLevel="0" collapsed="false">
      <c r="A292" s="24"/>
      <c r="B292" s="25"/>
      <c r="C292" s="26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27" t="str">
        <f aca="false">IF($A292="","",SUM($D292:$AA292))</f>
        <v/>
      </c>
    </row>
    <row r="293" customFormat="false" ht="15" hidden="false" customHeight="true" outlineLevel="0" collapsed="false">
      <c r="A293" s="28"/>
      <c r="B293" s="29"/>
      <c r="C293" s="30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27" t="str">
        <f aca="false">IF($A293="","",SUM($D293:$AA293))</f>
        <v/>
      </c>
    </row>
    <row r="294" customFormat="false" ht="15" hidden="false" customHeight="true" outlineLevel="0" collapsed="false">
      <c r="A294" s="24"/>
      <c r="B294" s="25"/>
      <c r="C294" s="26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27" t="str">
        <f aca="false">IF($A294="","",SUM($D294:$AA294))</f>
        <v/>
      </c>
    </row>
    <row r="295" customFormat="false" ht="15" hidden="false" customHeight="true" outlineLevel="0" collapsed="false">
      <c r="A295" s="28"/>
      <c r="B295" s="29"/>
      <c r="C295" s="30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27" t="str">
        <f aca="false">IF($A295="","",SUM($D295:$AA295))</f>
        <v/>
      </c>
    </row>
    <row r="296" customFormat="false" ht="15" hidden="false" customHeight="true" outlineLevel="0" collapsed="false">
      <c r="A296" s="24"/>
      <c r="B296" s="25"/>
      <c r="C296" s="26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27" t="str">
        <f aca="false">IF($A296="","",SUM($D296:$AA296))</f>
        <v/>
      </c>
    </row>
    <row r="297" customFormat="false" ht="15" hidden="false" customHeight="true" outlineLevel="0" collapsed="false">
      <c r="A297" s="28"/>
      <c r="B297" s="29"/>
      <c r="C297" s="30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27" t="str">
        <f aca="false">IF($A297="","",SUM($D297:$AA297))</f>
        <v/>
      </c>
    </row>
    <row r="298" customFormat="false" ht="15" hidden="false" customHeight="true" outlineLevel="0" collapsed="false">
      <c r="A298" s="24"/>
      <c r="B298" s="25"/>
      <c r="C298" s="26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27" t="str">
        <f aca="false">IF($A298="","",SUM($D298:$AA298))</f>
        <v/>
      </c>
    </row>
    <row r="299" customFormat="false" ht="15" hidden="false" customHeight="true" outlineLevel="0" collapsed="false">
      <c r="A299" s="28"/>
      <c r="B299" s="29"/>
      <c r="C299" s="30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27" t="str">
        <f aca="false">IF($A299="","",SUM($D299:$AA299))</f>
        <v/>
      </c>
    </row>
    <row r="300" customFormat="false" ht="15" hidden="false" customHeight="true" outlineLevel="0" collapsed="false">
      <c r="A300" s="24"/>
      <c r="B300" s="25"/>
      <c r="C300" s="26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27" t="str">
        <f aca="false">IF($A300="","",SUM($D300:$AA300))</f>
        <v/>
      </c>
    </row>
    <row r="301" customFormat="false" ht="15" hidden="false" customHeight="true" outlineLevel="0" collapsed="false">
      <c r="A301" s="28"/>
      <c r="B301" s="29"/>
      <c r="C301" s="30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27" t="str">
        <f aca="false">IF($A301="","",SUM($D301:$AA301))</f>
        <v/>
      </c>
    </row>
    <row r="302" customFormat="false" ht="15" hidden="false" customHeight="true" outlineLevel="0" collapsed="false">
      <c r="A302" s="24"/>
      <c r="B302" s="25"/>
      <c r="C302" s="26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27" t="str">
        <f aca="false">IF($A302="","",SUM($D302:$AA302))</f>
        <v/>
      </c>
    </row>
  </sheetData>
  <mergeCells count="1">
    <mergeCell ref="A1:AB1"/>
  </mergeCells>
  <dataValidations count="1">
    <dataValidation allowBlank="true" error="Listeden seçin" errorStyle="stop" errorTitle="Geçersiz değer" operator="between" showDropDown="false" showErrorMessage="true" showInputMessage="true" sqref="C3:C302" type="list">
      <formula1>"SİPARİŞ,HEDİYE,NUMUNE,DİĞER"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0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G10" activeCellId="0" sqref="G1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9.29"/>
    <col collapsed="false" customWidth="true" hidden="false" outlineLevel="0" max="27" min="3" style="1" width="11"/>
  </cols>
  <sheetData>
    <row r="1" customFormat="false" ht="30" hidden="false" customHeight="true" outlineLevel="0" collapsed="false">
      <c r="A1" s="20" t="s">
        <v>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customFormat="false" ht="43.5" hidden="false" customHeight="true" outlineLevel="0" collapsed="false">
      <c r="A2" s="21" t="s">
        <v>54</v>
      </c>
      <c r="B2" s="21" t="s">
        <v>55</v>
      </c>
      <c r="C2" s="5" t="s">
        <v>9</v>
      </c>
      <c r="D2" s="5" t="s">
        <v>10</v>
      </c>
      <c r="E2" s="5" t="s">
        <v>11</v>
      </c>
      <c r="F2" s="5" t="s">
        <v>13</v>
      </c>
      <c r="G2" s="5" t="s">
        <v>14</v>
      </c>
      <c r="H2" s="5" t="s">
        <v>15</v>
      </c>
      <c r="I2" s="5" t="s">
        <v>17</v>
      </c>
      <c r="J2" s="5" t="s">
        <v>18</v>
      </c>
      <c r="K2" s="5" t="s">
        <v>19</v>
      </c>
      <c r="L2" s="5" t="s">
        <v>21</v>
      </c>
      <c r="M2" s="5" t="s">
        <v>22</v>
      </c>
      <c r="N2" s="5" t="s">
        <v>23</v>
      </c>
      <c r="O2" s="5" t="s">
        <v>24</v>
      </c>
      <c r="P2" s="5" t="s">
        <v>25</v>
      </c>
      <c r="Q2" s="5" t="s">
        <v>26</v>
      </c>
      <c r="R2" s="5" t="s">
        <v>27</v>
      </c>
      <c r="S2" s="5" t="s">
        <v>28</v>
      </c>
      <c r="T2" s="5" t="s">
        <v>29</v>
      </c>
      <c r="U2" s="5" t="s">
        <v>30</v>
      </c>
      <c r="V2" s="22"/>
      <c r="W2" s="22"/>
      <c r="X2" s="22"/>
      <c r="Y2" s="22"/>
      <c r="Z2" s="22"/>
      <c r="AA2" s="23" t="s">
        <v>35</v>
      </c>
    </row>
    <row r="3" customFormat="false" ht="15" hidden="false" customHeight="true" outlineLevel="0" collapsed="false">
      <c r="A3" s="28" t="s">
        <v>56</v>
      </c>
      <c r="B3" s="29" t="n">
        <v>46241</v>
      </c>
      <c r="C3" s="12"/>
      <c r="D3" s="12"/>
      <c r="E3" s="12" t="n">
        <v>14</v>
      </c>
      <c r="F3" s="12" t="n">
        <v>4</v>
      </c>
      <c r="G3" s="12"/>
      <c r="H3" s="12"/>
      <c r="I3" s="12"/>
      <c r="J3" s="12"/>
      <c r="K3" s="12" t="n">
        <v>9</v>
      </c>
      <c r="L3" s="12"/>
      <c r="M3" s="12"/>
      <c r="N3" s="12"/>
      <c r="O3" s="12"/>
      <c r="P3" s="12" t="n">
        <v>4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27" t="n">
        <f aca="false">IF($A3="","",SUM($C3:$Z3))</f>
        <v>31</v>
      </c>
    </row>
    <row r="4" customFormat="false" ht="15" hidden="false" customHeight="true" outlineLevel="0" collapsed="false">
      <c r="A4" s="24" t="s">
        <v>57</v>
      </c>
      <c r="B4" s="25" t="n">
        <v>46241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 t="n">
        <v>11</v>
      </c>
      <c r="P4" s="9" t="n">
        <v>5</v>
      </c>
      <c r="Q4" s="9"/>
      <c r="R4" s="9"/>
      <c r="S4" s="9"/>
      <c r="T4" s="9"/>
      <c r="U4" s="9"/>
      <c r="V4" s="9"/>
      <c r="W4" s="9"/>
      <c r="X4" s="9"/>
      <c r="Y4" s="9"/>
      <c r="Z4" s="9"/>
      <c r="AA4" s="27" t="n">
        <f aca="false">IF($A4="","",SUM($C4:$Z4))</f>
        <v>16</v>
      </c>
    </row>
    <row r="5" customFormat="false" ht="15" hidden="false" customHeight="true" outlineLevel="0" collapsed="false">
      <c r="A5" s="28" t="s">
        <v>56</v>
      </c>
      <c r="B5" s="29" t="n">
        <v>46238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 t="n">
        <v>8</v>
      </c>
      <c r="R5" s="12" t="n">
        <v>1</v>
      </c>
      <c r="S5" s="12"/>
      <c r="T5" s="12"/>
      <c r="U5" s="12"/>
      <c r="V5" s="12"/>
      <c r="W5" s="12"/>
      <c r="X5" s="12"/>
      <c r="Y5" s="12"/>
      <c r="Z5" s="12"/>
      <c r="AA5" s="27" t="n">
        <f aca="false">IF($A5="","",SUM($C5:$Z5))</f>
        <v>9</v>
      </c>
    </row>
    <row r="6" customFormat="false" ht="15" hidden="false" customHeight="true" outlineLevel="0" collapsed="false">
      <c r="A6" s="24" t="s">
        <v>58</v>
      </c>
      <c r="B6" s="25" t="n">
        <v>46241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 t="n">
        <v>11</v>
      </c>
      <c r="U6" s="9"/>
      <c r="V6" s="9"/>
      <c r="W6" s="9"/>
      <c r="X6" s="9"/>
      <c r="Y6" s="9"/>
      <c r="Z6" s="9"/>
      <c r="AA6" s="27" t="n">
        <f aca="false">IF($A6="","",SUM($C6:$Z6))</f>
        <v>11</v>
      </c>
    </row>
    <row r="7" customFormat="false" ht="15" hidden="false" customHeight="true" outlineLevel="0" collapsed="false">
      <c r="A7" s="28"/>
      <c r="B7" s="29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27" t="str">
        <f aca="false">IF($A7="","",SUM($C7:$Z7))</f>
        <v/>
      </c>
    </row>
    <row r="8" customFormat="false" ht="15" hidden="false" customHeight="true" outlineLevel="0" collapsed="false">
      <c r="A8" s="24"/>
      <c r="B8" s="25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27" t="str">
        <f aca="false">IF($A8="","",SUM($C8:$Z8))</f>
        <v/>
      </c>
    </row>
    <row r="9" customFormat="false" ht="15" hidden="false" customHeight="true" outlineLevel="0" collapsed="false">
      <c r="A9" s="28"/>
      <c r="B9" s="29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27" t="str">
        <f aca="false">IF($A9="","",SUM($C9:$Z9))</f>
        <v/>
      </c>
    </row>
    <row r="10" customFormat="false" ht="15" hidden="false" customHeight="true" outlineLevel="0" collapsed="false">
      <c r="A10" s="24"/>
      <c r="B10" s="25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27" t="str">
        <f aca="false">IF($A10="","",SUM($C10:$Z10))</f>
        <v/>
      </c>
    </row>
    <row r="11" customFormat="false" ht="15" hidden="false" customHeight="true" outlineLevel="0" collapsed="false">
      <c r="A11" s="28"/>
      <c r="B11" s="29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27" t="str">
        <f aca="false">IF($A11="","",SUM($C11:$Z11))</f>
        <v/>
      </c>
    </row>
    <row r="12" customFormat="false" ht="15" hidden="false" customHeight="true" outlineLevel="0" collapsed="false">
      <c r="A12" s="24"/>
      <c r="B12" s="2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27" t="str">
        <f aca="false">IF($A12="","",SUM($C12:$Z12))</f>
        <v/>
      </c>
    </row>
    <row r="13" customFormat="false" ht="15" hidden="false" customHeight="true" outlineLevel="0" collapsed="false">
      <c r="A13" s="28"/>
      <c r="B13" s="29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27" t="str">
        <f aca="false">IF($A13="","",SUM($C13:$Z13))</f>
        <v/>
      </c>
    </row>
    <row r="14" customFormat="false" ht="15" hidden="false" customHeight="true" outlineLevel="0" collapsed="false">
      <c r="A14" s="24"/>
      <c r="B14" s="25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27" t="str">
        <f aca="false">IF($A14="","",SUM($C14:$Z14))</f>
        <v/>
      </c>
    </row>
    <row r="15" customFormat="false" ht="15" hidden="false" customHeight="true" outlineLevel="0" collapsed="false">
      <c r="A15" s="28"/>
      <c r="B15" s="29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27" t="str">
        <f aca="false">IF($A15="","",SUM($C15:$Z15))</f>
        <v/>
      </c>
    </row>
    <row r="16" customFormat="false" ht="15" hidden="false" customHeight="true" outlineLevel="0" collapsed="false">
      <c r="A16" s="24"/>
      <c r="B16" s="25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27" t="str">
        <f aca="false">IF($A16="","",SUM($C16:$Z16))</f>
        <v/>
      </c>
    </row>
    <row r="17" customFormat="false" ht="15" hidden="false" customHeight="true" outlineLevel="0" collapsed="false">
      <c r="A17" s="28"/>
      <c r="B17" s="29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27" t="str">
        <f aca="false">IF($A17="","",SUM($C17:$Z17))</f>
        <v/>
      </c>
    </row>
    <row r="18" customFormat="false" ht="15" hidden="false" customHeight="true" outlineLevel="0" collapsed="false">
      <c r="A18" s="24"/>
      <c r="B18" s="2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27" t="str">
        <f aca="false">IF($A18="","",SUM($C18:$Z18))</f>
        <v/>
      </c>
    </row>
    <row r="19" customFormat="false" ht="15" hidden="false" customHeight="true" outlineLevel="0" collapsed="false">
      <c r="A19" s="28"/>
      <c r="B19" s="29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27" t="str">
        <f aca="false">IF($A19="","",SUM($C19:$Z19))</f>
        <v/>
      </c>
    </row>
    <row r="20" customFormat="false" ht="15" hidden="false" customHeight="true" outlineLevel="0" collapsed="false">
      <c r="A20" s="24"/>
      <c r="B20" s="25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27" t="str">
        <f aca="false">IF($A20="","",SUM($C20:$Z20))</f>
        <v/>
      </c>
    </row>
    <row r="21" customFormat="false" ht="15" hidden="false" customHeight="true" outlineLevel="0" collapsed="false">
      <c r="A21" s="28"/>
      <c r="B21" s="29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27" t="str">
        <f aca="false">IF($A21="","",SUM($C21:$Z21))</f>
        <v/>
      </c>
    </row>
    <row r="22" customFormat="false" ht="15" hidden="false" customHeight="true" outlineLevel="0" collapsed="false">
      <c r="A22" s="24"/>
      <c r="B22" s="25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27" t="str">
        <f aca="false">IF($A22="","",SUM($C22:$Z22))</f>
        <v/>
      </c>
    </row>
    <row r="23" customFormat="false" ht="15" hidden="false" customHeight="true" outlineLevel="0" collapsed="false">
      <c r="A23" s="28"/>
      <c r="B23" s="29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27" t="str">
        <f aca="false">IF($A23="","",SUM($C23:$Z23))</f>
        <v/>
      </c>
    </row>
    <row r="24" customFormat="false" ht="15" hidden="false" customHeight="true" outlineLevel="0" collapsed="false">
      <c r="A24" s="24"/>
      <c r="B24" s="25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27" t="str">
        <f aca="false">IF($A24="","",SUM($C24:$Z24))</f>
        <v/>
      </c>
    </row>
    <row r="25" customFormat="false" ht="15" hidden="false" customHeight="true" outlineLevel="0" collapsed="false">
      <c r="A25" s="28"/>
      <c r="B25" s="29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27" t="str">
        <f aca="false">IF($A25="","",SUM($C25:$Z25))</f>
        <v/>
      </c>
    </row>
    <row r="26" customFormat="false" ht="15" hidden="false" customHeight="true" outlineLevel="0" collapsed="false">
      <c r="A26" s="24"/>
      <c r="B26" s="25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27" t="str">
        <f aca="false">IF($A26="","",SUM($C26:$Z26))</f>
        <v/>
      </c>
    </row>
    <row r="27" customFormat="false" ht="15" hidden="false" customHeight="true" outlineLevel="0" collapsed="false">
      <c r="A27" s="28"/>
      <c r="B27" s="29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27" t="str">
        <f aca="false">IF($A27="","",SUM($C27:$Z27))</f>
        <v/>
      </c>
    </row>
    <row r="28" customFormat="false" ht="15" hidden="false" customHeight="true" outlineLevel="0" collapsed="false">
      <c r="A28" s="24"/>
      <c r="B28" s="25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27" t="str">
        <f aca="false">IF($A28="","",SUM($C28:$Z28))</f>
        <v/>
      </c>
    </row>
    <row r="29" customFormat="false" ht="15" hidden="false" customHeight="true" outlineLevel="0" collapsed="false">
      <c r="A29" s="28"/>
      <c r="B29" s="29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27" t="str">
        <f aca="false">IF($A29="","",SUM($C29:$Z29))</f>
        <v/>
      </c>
    </row>
    <row r="30" customFormat="false" ht="15" hidden="false" customHeight="true" outlineLevel="0" collapsed="false">
      <c r="A30" s="24"/>
      <c r="B30" s="25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27" t="str">
        <f aca="false">IF($A30="","",SUM($C30:$Z30))</f>
        <v/>
      </c>
    </row>
    <row r="31" customFormat="false" ht="15" hidden="false" customHeight="true" outlineLevel="0" collapsed="false">
      <c r="A31" s="28"/>
      <c r="B31" s="29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27" t="str">
        <f aca="false">IF($A31="","",SUM($C31:$Z31))</f>
        <v/>
      </c>
    </row>
    <row r="32" customFormat="false" ht="15" hidden="false" customHeight="true" outlineLevel="0" collapsed="false">
      <c r="A32" s="24"/>
      <c r="B32" s="25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27" t="str">
        <f aca="false">IF($A32="","",SUM($C32:$Z32))</f>
        <v/>
      </c>
    </row>
    <row r="33" customFormat="false" ht="15" hidden="false" customHeight="true" outlineLevel="0" collapsed="false">
      <c r="A33" s="28"/>
      <c r="B33" s="29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27" t="str">
        <f aca="false">IF($A33="","",SUM($C33:$Z33))</f>
        <v/>
      </c>
    </row>
    <row r="34" customFormat="false" ht="15" hidden="false" customHeight="true" outlineLevel="0" collapsed="false">
      <c r="A34" s="24"/>
      <c r="B34" s="25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27" t="str">
        <f aca="false">IF($A34="","",SUM($C34:$Z34))</f>
        <v/>
      </c>
    </row>
    <row r="35" customFormat="false" ht="15" hidden="false" customHeight="true" outlineLevel="0" collapsed="false">
      <c r="A35" s="28"/>
      <c r="B35" s="29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27" t="str">
        <f aca="false">IF($A35="","",SUM($C35:$Z35))</f>
        <v/>
      </c>
    </row>
    <row r="36" customFormat="false" ht="15" hidden="false" customHeight="true" outlineLevel="0" collapsed="false">
      <c r="A36" s="24"/>
      <c r="B36" s="25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27" t="str">
        <f aca="false">IF($A36="","",SUM($C36:$Z36))</f>
        <v/>
      </c>
    </row>
    <row r="37" customFormat="false" ht="15" hidden="false" customHeight="true" outlineLevel="0" collapsed="false">
      <c r="A37" s="28"/>
      <c r="B37" s="29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27" t="str">
        <f aca="false">IF($A37="","",SUM($C37:$Z37))</f>
        <v/>
      </c>
    </row>
    <row r="38" customFormat="false" ht="15" hidden="false" customHeight="true" outlineLevel="0" collapsed="false">
      <c r="A38" s="24"/>
      <c r="B38" s="25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27" t="str">
        <f aca="false">IF($A38="","",SUM($C38:$Z38))</f>
        <v/>
      </c>
    </row>
    <row r="39" customFormat="false" ht="15" hidden="false" customHeight="true" outlineLevel="0" collapsed="false">
      <c r="A39" s="28"/>
      <c r="B39" s="29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27" t="str">
        <f aca="false">IF($A39="","",SUM($C39:$Z39))</f>
        <v/>
      </c>
    </row>
    <row r="40" customFormat="false" ht="15" hidden="false" customHeight="true" outlineLevel="0" collapsed="false">
      <c r="A40" s="24"/>
      <c r="B40" s="25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27" t="str">
        <f aca="false">IF($A40="","",SUM($C40:$Z40))</f>
        <v/>
      </c>
    </row>
    <row r="41" customFormat="false" ht="15" hidden="false" customHeight="true" outlineLevel="0" collapsed="false">
      <c r="A41" s="28"/>
      <c r="B41" s="29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27" t="str">
        <f aca="false">IF($A41="","",SUM($C41:$Z41))</f>
        <v/>
      </c>
    </row>
    <row r="42" customFormat="false" ht="15" hidden="false" customHeight="true" outlineLevel="0" collapsed="false">
      <c r="A42" s="24"/>
      <c r="B42" s="25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27" t="str">
        <f aca="false">IF($A42="","",SUM($C42:$Z42))</f>
        <v/>
      </c>
    </row>
    <row r="43" customFormat="false" ht="15" hidden="false" customHeight="true" outlineLevel="0" collapsed="false">
      <c r="A43" s="28"/>
      <c r="B43" s="29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27" t="str">
        <f aca="false">IF($A43="","",SUM($C43:$Z43))</f>
        <v/>
      </c>
    </row>
    <row r="44" customFormat="false" ht="15" hidden="false" customHeight="true" outlineLevel="0" collapsed="false">
      <c r="A44" s="24"/>
      <c r="B44" s="25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27" t="str">
        <f aca="false">IF($A44="","",SUM($C44:$Z44))</f>
        <v/>
      </c>
    </row>
    <row r="45" customFormat="false" ht="15" hidden="false" customHeight="true" outlineLevel="0" collapsed="false">
      <c r="A45" s="28"/>
      <c r="B45" s="29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27" t="str">
        <f aca="false">IF($A45="","",SUM($C45:$Z45))</f>
        <v/>
      </c>
    </row>
    <row r="46" customFormat="false" ht="15" hidden="false" customHeight="true" outlineLevel="0" collapsed="false">
      <c r="A46" s="24"/>
      <c r="B46" s="25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27" t="str">
        <f aca="false">IF($A46="","",SUM($C46:$Z46))</f>
        <v/>
      </c>
    </row>
    <row r="47" customFormat="false" ht="15" hidden="false" customHeight="true" outlineLevel="0" collapsed="false">
      <c r="A47" s="28"/>
      <c r="B47" s="29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27" t="str">
        <f aca="false">IF($A47="","",SUM($C47:$Z47))</f>
        <v/>
      </c>
    </row>
    <row r="48" customFormat="false" ht="15" hidden="false" customHeight="true" outlineLevel="0" collapsed="false">
      <c r="A48" s="24"/>
      <c r="B48" s="25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27" t="str">
        <f aca="false">IF($A48="","",SUM($C48:$Z48))</f>
        <v/>
      </c>
    </row>
    <row r="49" customFormat="false" ht="15" hidden="false" customHeight="true" outlineLevel="0" collapsed="false">
      <c r="A49" s="28"/>
      <c r="B49" s="29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27" t="str">
        <f aca="false">IF($A49="","",SUM($C49:$Z49))</f>
        <v/>
      </c>
    </row>
    <row r="50" customFormat="false" ht="15" hidden="false" customHeight="true" outlineLevel="0" collapsed="false">
      <c r="A50" s="24"/>
      <c r="B50" s="2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27" t="str">
        <f aca="false">IF($A50="","",SUM($C50:$Z50))</f>
        <v/>
      </c>
    </row>
    <row r="51" customFormat="false" ht="15" hidden="false" customHeight="true" outlineLevel="0" collapsed="false">
      <c r="A51" s="28"/>
      <c r="B51" s="29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27" t="str">
        <f aca="false">IF($A51="","",SUM($C51:$Z51))</f>
        <v/>
      </c>
    </row>
    <row r="52" customFormat="false" ht="15" hidden="false" customHeight="true" outlineLevel="0" collapsed="false">
      <c r="A52" s="24"/>
      <c r="B52" s="25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27" t="str">
        <f aca="false">IF($A52="","",SUM($C52:$Z52))</f>
        <v/>
      </c>
    </row>
    <row r="53" customFormat="false" ht="15" hidden="false" customHeight="true" outlineLevel="0" collapsed="false">
      <c r="A53" s="28"/>
      <c r="B53" s="29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27" t="str">
        <f aca="false">IF($A53="","",SUM($C53:$Z53))</f>
        <v/>
      </c>
    </row>
    <row r="54" customFormat="false" ht="15" hidden="false" customHeight="true" outlineLevel="0" collapsed="false">
      <c r="A54" s="24"/>
      <c r="B54" s="25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27" t="str">
        <f aca="false">IF($A54="","",SUM($C54:$Z54))</f>
        <v/>
      </c>
    </row>
    <row r="55" customFormat="false" ht="15" hidden="false" customHeight="true" outlineLevel="0" collapsed="false">
      <c r="A55" s="28"/>
      <c r="B55" s="29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27" t="str">
        <f aca="false">IF($A55="","",SUM($C55:$Z55))</f>
        <v/>
      </c>
    </row>
    <row r="56" customFormat="false" ht="15" hidden="false" customHeight="true" outlineLevel="0" collapsed="false">
      <c r="A56" s="24"/>
      <c r="B56" s="25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27" t="str">
        <f aca="false">IF($A56="","",SUM($C56:$Z56))</f>
        <v/>
      </c>
    </row>
    <row r="57" customFormat="false" ht="15" hidden="false" customHeight="true" outlineLevel="0" collapsed="false">
      <c r="A57" s="28"/>
      <c r="B57" s="29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27" t="str">
        <f aca="false">IF($A57="","",SUM($C57:$Z57))</f>
        <v/>
      </c>
    </row>
    <row r="58" customFormat="false" ht="15" hidden="false" customHeight="true" outlineLevel="0" collapsed="false">
      <c r="A58" s="24"/>
      <c r="B58" s="25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27" t="str">
        <f aca="false">IF($A58="","",SUM($C58:$Z58))</f>
        <v/>
      </c>
    </row>
    <row r="59" customFormat="false" ht="15" hidden="false" customHeight="true" outlineLevel="0" collapsed="false">
      <c r="A59" s="28"/>
      <c r="B59" s="29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27" t="str">
        <f aca="false">IF($A59="","",SUM($C59:$Z59))</f>
        <v/>
      </c>
    </row>
    <row r="60" customFormat="false" ht="15" hidden="false" customHeight="true" outlineLevel="0" collapsed="false">
      <c r="A60" s="24"/>
      <c r="B60" s="25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27" t="str">
        <f aca="false">IF($A60="","",SUM($C60:$Z60))</f>
        <v/>
      </c>
    </row>
    <row r="61" customFormat="false" ht="15" hidden="false" customHeight="true" outlineLevel="0" collapsed="false">
      <c r="A61" s="28"/>
      <c r="B61" s="29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27" t="str">
        <f aca="false">IF($A61="","",SUM($C61:$Z61))</f>
        <v/>
      </c>
    </row>
    <row r="62" customFormat="false" ht="15" hidden="false" customHeight="true" outlineLevel="0" collapsed="false">
      <c r="A62" s="24"/>
      <c r="B62" s="25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27" t="str">
        <f aca="false">IF($A62="","",SUM($C62:$Z62))</f>
        <v/>
      </c>
    </row>
    <row r="63" customFormat="false" ht="15" hidden="false" customHeight="true" outlineLevel="0" collapsed="false">
      <c r="A63" s="28"/>
      <c r="B63" s="29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27" t="str">
        <f aca="false">IF($A63="","",SUM($C63:$Z63))</f>
        <v/>
      </c>
    </row>
    <row r="64" customFormat="false" ht="15" hidden="false" customHeight="true" outlineLevel="0" collapsed="false">
      <c r="A64" s="24"/>
      <c r="B64" s="25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27" t="str">
        <f aca="false">IF($A64="","",SUM($C64:$Z64))</f>
        <v/>
      </c>
    </row>
    <row r="65" customFormat="false" ht="15" hidden="false" customHeight="true" outlineLevel="0" collapsed="false">
      <c r="A65" s="28"/>
      <c r="B65" s="29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27" t="str">
        <f aca="false">IF($A65="","",SUM($C65:$Z65))</f>
        <v/>
      </c>
    </row>
    <row r="66" customFormat="false" ht="15" hidden="false" customHeight="true" outlineLevel="0" collapsed="false">
      <c r="A66" s="24"/>
      <c r="B66" s="25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27" t="str">
        <f aca="false">IF($A66="","",SUM($C66:$Z66))</f>
        <v/>
      </c>
    </row>
    <row r="67" customFormat="false" ht="15" hidden="false" customHeight="true" outlineLevel="0" collapsed="false">
      <c r="A67" s="28"/>
      <c r="B67" s="29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27" t="str">
        <f aca="false">IF($A67="","",SUM($C67:$Z67))</f>
        <v/>
      </c>
    </row>
    <row r="68" customFormat="false" ht="15" hidden="false" customHeight="true" outlineLevel="0" collapsed="false">
      <c r="A68" s="24"/>
      <c r="B68" s="25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27" t="str">
        <f aca="false">IF($A68="","",SUM($C68:$Z68))</f>
        <v/>
      </c>
    </row>
    <row r="69" customFormat="false" ht="15" hidden="false" customHeight="true" outlineLevel="0" collapsed="false">
      <c r="A69" s="28"/>
      <c r="B69" s="29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27" t="str">
        <f aca="false">IF($A69="","",SUM($C69:$Z69))</f>
        <v/>
      </c>
    </row>
    <row r="70" customFormat="false" ht="15" hidden="false" customHeight="true" outlineLevel="0" collapsed="false">
      <c r="A70" s="24"/>
      <c r="B70" s="25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27" t="str">
        <f aca="false">IF($A70="","",SUM($C70:$Z70))</f>
        <v/>
      </c>
    </row>
    <row r="71" customFormat="false" ht="15" hidden="false" customHeight="true" outlineLevel="0" collapsed="false">
      <c r="A71" s="28"/>
      <c r="B71" s="29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27" t="str">
        <f aca="false">IF($A71="","",SUM($C71:$Z71))</f>
        <v/>
      </c>
    </row>
    <row r="72" customFormat="false" ht="15" hidden="false" customHeight="true" outlineLevel="0" collapsed="false">
      <c r="A72" s="24"/>
      <c r="B72" s="25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27" t="str">
        <f aca="false">IF($A72="","",SUM($C72:$Z72))</f>
        <v/>
      </c>
    </row>
    <row r="73" customFormat="false" ht="15" hidden="false" customHeight="true" outlineLevel="0" collapsed="false">
      <c r="A73" s="28"/>
      <c r="B73" s="29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27" t="str">
        <f aca="false">IF($A73="","",SUM($C73:$Z73))</f>
        <v/>
      </c>
    </row>
    <row r="74" customFormat="false" ht="15" hidden="false" customHeight="true" outlineLevel="0" collapsed="false">
      <c r="A74" s="24"/>
      <c r="B74" s="25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27" t="str">
        <f aca="false">IF($A74="","",SUM($C74:$Z74))</f>
        <v/>
      </c>
    </row>
    <row r="75" customFormat="false" ht="15" hidden="false" customHeight="true" outlineLevel="0" collapsed="false">
      <c r="A75" s="28"/>
      <c r="B75" s="29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27" t="str">
        <f aca="false">IF($A75="","",SUM($C75:$Z75))</f>
        <v/>
      </c>
    </row>
    <row r="76" customFormat="false" ht="15" hidden="false" customHeight="true" outlineLevel="0" collapsed="false">
      <c r="A76" s="24"/>
      <c r="B76" s="25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27" t="str">
        <f aca="false">IF($A76="","",SUM($C76:$Z76))</f>
        <v/>
      </c>
    </row>
    <row r="77" customFormat="false" ht="15" hidden="false" customHeight="true" outlineLevel="0" collapsed="false">
      <c r="A77" s="28"/>
      <c r="B77" s="29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27" t="str">
        <f aca="false">IF($A77="","",SUM($C77:$Z77))</f>
        <v/>
      </c>
    </row>
    <row r="78" customFormat="false" ht="15" hidden="false" customHeight="true" outlineLevel="0" collapsed="false">
      <c r="A78" s="24"/>
      <c r="B78" s="25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27" t="str">
        <f aca="false">IF($A78="","",SUM($C78:$Z78))</f>
        <v/>
      </c>
    </row>
    <row r="79" customFormat="false" ht="15" hidden="false" customHeight="true" outlineLevel="0" collapsed="false">
      <c r="A79" s="28"/>
      <c r="B79" s="29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27" t="str">
        <f aca="false">IF($A79="","",SUM($C79:$Z79))</f>
        <v/>
      </c>
    </row>
    <row r="80" customFormat="false" ht="15" hidden="false" customHeight="true" outlineLevel="0" collapsed="false">
      <c r="A80" s="24"/>
      <c r="B80" s="25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27" t="str">
        <f aca="false">IF($A80="","",SUM($C80:$Z80))</f>
        <v/>
      </c>
    </row>
    <row r="81" customFormat="false" ht="15" hidden="false" customHeight="true" outlineLevel="0" collapsed="false">
      <c r="A81" s="28"/>
      <c r="B81" s="29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27" t="str">
        <f aca="false">IF($A81="","",SUM($C81:$Z81))</f>
        <v/>
      </c>
    </row>
    <row r="82" customFormat="false" ht="15" hidden="false" customHeight="true" outlineLevel="0" collapsed="false">
      <c r="A82" s="24"/>
      <c r="B82" s="25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27" t="str">
        <f aca="false">IF($A82="","",SUM($C82:$Z82))</f>
        <v/>
      </c>
    </row>
    <row r="83" customFormat="false" ht="15" hidden="false" customHeight="true" outlineLevel="0" collapsed="false">
      <c r="A83" s="28"/>
      <c r="B83" s="29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27" t="str">
        <f aca="false">IF($A83="","",SUM($C83:$Z83))</f>
        <v/>
      </c>
    </row>
    <row r="84" customFormat="false" ht="15" hidden="false" customHeight="true" outlineLevel="0" collapsed="false">
      <c r="A84" s="24"/>
      <c r="B84" s="25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27" t="str">
        <f aca="false">IF($A84="","",SUM($C84:$Z84))</f>
        <v/>
      </c>
    </row>
    <row r="85" customFormat="false" ht="15" hidden="false" customHeight="true" outlineLevel="0" collapsed="false">
      <c r="A85" s="28"/>
      <c r="B85" s="29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27" t="str">
        <f aca="false">IF($A85="","",SUM($C85:$Z85))</f>
        <v/>
      </c>
    </row>
    <row r="86" customFormat="false" ht="15" hidden="false" customHeight="true" outlineLevel="0" collapsed="false">
      <c r="A86" s="24"/>
      <c r="B86" s="25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27" t="str">
        <f aca="false">IF($A86="","",SUM($C86:$Z86))</f>
        <v/>
      </c>
    </row>
    <row r="87" customFormat="false" ht="15" hidden="false" customHeight="true" outlineLevel="0" collapsed="false">
      <c r="A87" s="28"/>
      <c r="B87" s="29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27" t="str">
        <f aca="false">IF($A87="","",SUM($C87:$Z87))</f>
        <v/>
      </c>
    </row>
    <row r="88" customFormat="false" ht="15" hidden="false" customHeight="true" outlineLevel="0" collapsed="false">
      <c r="A88" s="24"/>
      <c r="B88" s="25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27" t="str">
        <f aca="false">IF($A88="","",SUM($C88:$Z88))</f>
        <v/>
      </c>
    </row>
    <row r="89" customFormat="false" ht="15" hidden="false" customHeight="true" outlineLevel="0" collapsed="false">
      <c r="A89" s="28"/>
      <c r="B89" s="29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27" t="str">
        <f aca="false">IF($A89="","",SUM($C89:$Z89))</f>
        <v/>
      </c>
    </row>
    <row r="90" customFormat="false" ht="15" hidden="false" customHeight="true" outlineLevel="0" collapsed="false">
      <c r="A90" s="24"/>
      <c r="B90" s="25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27" t="str">
        <f aca="false">IF($A90="","",SUM($C90:$Z90))</f>
        <v/>
      </c>
    </row>
    <row r="91" customFormat="false" ht="15" hidden="false" customHeight="true" outlineLevel="0" collapsed="false">
      <c r="A91" s="28"/>
      <c r="B91" s="29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27" t="str">
        <f aca="false">IF($A91="","",SUM($C91:$Z91))</f>
        <v/>
      </c>
    </row>
    <row r="92" customFormat="false" ht="15" hidden="false" customHeight="true" outlineLevel="0" collapsed="false">
      <c r="A92" s="24"/>
      <c r="B92" s="25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27" t="str">
        <f aca="false">IF($A92="","",SUM($C92:$Z92))</f>
        <v/>
      </c>
    </row>
    <row r="93" customFormat="false" ht="15" hidden="false" customHeight="true" outlineLevel="0" collapsed="false">
      <c r="A93" s="28"/>
      <c r="B93" s="29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27" t="str">
        <f aca="false">IF($A93="","",SUM($C93:$Z93))</f>
        <v/>
      </c>
    </row>
    <row r="94" customFormat="false" ht="15" hidden="false" customHeight="true" outlineLevel="0" collapsed="false">
      <c r="A94" s="24"/>
      <c r="B94" s="25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27" t="str">
        <f aca="false">IF($A94="","",SUM($C94:$Z94))</f>
        <v/>
      </c>
    </row>
    <row r="95" customFormat="false" ht="15" hidden="false" customHeight="true" outlineLevel="0" collapsed="false">
      <c r="A95" s="28"/>
      <c r="B95" s="29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27" t="str">
        <f aca="false">IF($A95="","",SUM($C95:$Z95))</f>
        <v/>
      </c>
    </row>
    <row r="96" customFormat="false" ht="15" hidden="false" customHeight="true" outlineLevel="0" collapsed="false">
      <c r="A96" s="24"/>
      <c r="B96" s="25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27" t="str">
        <f aca="false">IF($A96="","",SUM($C96:$Z96))</f>
        <v/>
      </c>
    </row>
    <row r="97" customFormat="false" ht="15" hidden="false" customHeight="true" outlineLevel="0" collapsed="false">
      <c r="A97" s="28"/>
      <c r="B97" s="29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27" t="str">
        <f aca="false">IF($A97="","",SUM($C97:$Z97))</f>
        <v/>
      </c>
    </row>
    <row r="98" customFormat="false" ht="15" hidden="false" customHeight="true" outlineLevel="0" collapsed="false">
      <c r="A98" s="24"/>
      <c r="B98" s="25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27" t="str">
        <f aca="false">IF($A98="","",SUM($C98:$Z98))</f>
        <v/>
      </c>
    </row>
    <row r="99" customFormat="false" ht="15" hidden="false" customHeight="true" outlineLevel="0" collapsed="false">
      <c r="A99" s="28"/>
      <c r="B99" s="29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27" t="str">
        <f aca="false">IF($A99="","",SUM($C99:$Z99))</f>
        <v/>
      </c>
    </row>
    <row r="100" customFormat="false" ht="15" hidden="false" customHeight="true" outlineLevel="0" collapsed="false">
      <c r="A100" s="24"/>
      <c r="B100" s="25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27" t="str">
        <f aca="false">IF($A100="","",SUM($C100:$Z100))</f>
        <v/>
      </c>
    </row>
    <row r="101" customFormat="false" ht="15" hidden="false" customHeight="true" outlineLevel="0" collapsed="false">
      <c r="A101" s="28"/>
      <c r="B101" s="29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27" t="str">
        <f aca="false">IF($A101="","",SUM($C101:$Z101))</f>
        <v/>
      </c>
    </row>
    <row r="102" customFormat="false" ht="15" hidden="false" customHeight="true" outlineLevel="0" collapsed="false">
      <c r="A102" s="24"/>
      <c r="B102" s="25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27" t="str">
        <f aca="false">IF($A102="","",SUM($C102:$Z102))</f>
        <v/>
      </c>
    </row>
    <row r="103" customFormat="false" ht="15" hidden="false" customHeight="true" outlineLevel="0" collapsed="false">
      <c r="A103" s="28"/>
      <c r="B103" s="29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27" t="str">
        <f aca="false">IF($A103="","",SUM($C103:$Z103))</f>
        <v/>
      </c>
    </row>
    <row r="104" customFormat="false" ht="15" hidden="false" customHeight="true" outlineLevel="0" collapsed="false">
      <c r="A104" s="24"/>
      <c r="B104" s="25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27" t="str">
        <f aca="false">IF($A104="","",SUM($C104:$Z104))</f>
        <v/>
      </c>
    </row>
    <row r="105" customFormat="false" ht="15" hidden="false" customHeight="true" outlineLevel="0" collapsed="false">
      <c r="A105" s="28"/>
      <c r="B105" s="29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27" t="str">
        <f aca="false">IF($A105="","",SUM($C105:$Z105))</f>
        <v/>
      </c>
    </row>
    <row r="106" customFormat="false" ht="15" hidden="false" customHeight="true" outlineLevel="0" collapsed="false">
      <c r="A106" s="24"/>
      <c r="B106" s="2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27" t="str">
        <f aca="false">IF($A106="","",SUM($C106:$Z106))</f>
        <v/>
      </c>
    </row>
    <row r="107" customFormat="false" ht="15" hidden="false" customHeight="true" outlineLevel="0" collapsed="false">
      <c r="A107" s="28"/>
      <c r="B107" s="29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27" t="str">
        <f aca="false">IF($A107="","",SUM($C107:$Z107))</f>
        <v/>
      </c>
    </row>
    <row r="108" customFormat="false" ht="15" hidden="false" customHeight="true" outlineLevel="0" collapsed="false">
      <c r="A108" s="24"/>
      <c r="B108" s="2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27" t="str">
        <f aca="false">IF($A108="","",SUM($C108:$Z108))</f>
        <v/>
      </c>
    </row>
    <row r="109" customFormat="false" ht="15" hidden="false" customHeight="true" outlineLevel="0" collapsed="false">
      <c r="A109" s="28"/>
      <c r="B109" s="29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27" t="str">
        <f aca="false">IF($A109="","",SUM($C109:$Z109))</f>
        <v/>
      </c>
    </row>
    <row r="110" customFormat="false" ht="15" hidden="false" customHeight="true" outlineLevel="0" collapsed="false">
      <c r="A110" s="24"/>
      <c r="B110" s="2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27" t="str">
        <f aca="false">IF($A110="","",SUM($C110:$Z110))</f>
        <v/>
      </c>
    </row>
    <row r="111" customFormat="false" ht="15" hidden="false" customHeight="true" outlineLevel="0" collapsed="false">
      <c r="A111" s="28"/>
      <c r="B111" s="29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27" t="str">
        <f aca="false">IF($A111="","",SUM($C111:$Z111))</f>
        <v/>
      </c>
    </row>
    <row r="112" customFormat="false" ht="15" hidden="false" customHeight="true" outlineLevel="0" collapsed="false">
      <c r="A112" s="24"/>
      <c r="B112" s="2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27" t="str">
        <f aca="false">IF($A112="","",SUM($C112:$Z112))</f>
        <v/>
      </c>
    </row>
    <row r="113" customFormat="false" ht="15" hidden="false" customHeight="true" outlineLevel="0" collapsed="false">
      <c r="A113" s="28"/>
      <c r="B113" s="29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27" t="str">
        <f aca="false">IF($A113="","",SUM($C113:$Z113))</f>
        <v/>
      </c>
    </row>
    <row r="114" customFormat="false" ht="15" hidden="false" customHeight="true" outlineLevel="0" collapsed="false">
      <c r="A114" s="24"/>
      <c r="B114" s="2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27" t="str">
        <f aca="false">IF($A114="","",SUM($C114:$Z114))</f>
        <v/>
      </c>
    </row>
    <row r="115" customFormat="false" ht="15" hidden="false" customHeight="true" outlineLevel="0" collapsed="false">
      <c r="A115" s="28"/>
      <c r="B115" s="29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27" t="str">
        <f aca="false">IF($A115="","",SUM($C115:$Z115))</f>
        <v/>
      </c>
    </row>
    <row r="116" customFormat="false" ht="15" hidden="false" customHeight="true" outlineLevel="0" collapsed="false">
      <c r="A116" s="24"/>
      <c r="B116" s="2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27" t="str">
        <f aca="false">IF($A116="","",SUM($C116:$Z116))</f>
        <v/>
      </c>
    </row>
    <row r="117" customFormat="false" ht="15" hidden="false" customHeight="true" outlineLevel="0" collapsed="false">
      <c r="A117" s="28"/>
      <c r="B117" s="29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27" t="str">
        <f aca="false">IF($A117="","",SUM($C117:$Z117))</f>
        <v/>
      </c>
    </row>
    <row r="118" customFormat="false" ht="15" hidden="false" customHeight="true" outlineLevel="0" collapsed="false">
      <c r="A118" s="24"/>
      <c r="B118" s="2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27" t="str">
        <f aca="false">IF($A118="","",SUM($C118:$Z118))</f>
        <v/>
      </c>
    </row>
    <row r="119" customFormat="false" ht="15" hidden="false" customHeight="true" outlineLevel="0" collapsed="false">
      <c r="A119" s="28"/>
      <c r="B119" s="29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27" t="str">
        <f aca="false">IF($A119="","",SUM($C119:$Z119))</f>
        <v/>
      </c>
    </row>
    <row r="120" customFormat="false" ht="15" hidden="false" customHeight="true" outlineLevel="0" collapsed="false">
      <c r="A120" s="24"/>
      <c r="B120" s="2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27" t="str">
        <f aca="false">IF($A120="","",SUM($C120:$Z120))</f>
        <v/>
      </c>
    </row>
    <row r="121" customFormat="false" ht="15" hidden="false" customHeight="true" outlineLevel="0" collapsed="false">
      <c r="A121" s="28"/>
      <c r="B121" s="29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27" t="str">
        <f aca="false">IF($A121="","",SUM($C121:$Z121))</f>
        <v/>
      </c>
    </row>
    <row r="122" customFormat="false" ht="15" hidden="false" customHeight="true" outlineLevel="0" collapsed="false">
      <c r="A122" s="24"/>
      <c r="B122" s="2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27" t="str">
        <f aca="false">IF($A122="","",SUM($C122:$Z122))</f>
        <v/>
      </c>
    </row>
    <row r="123" customFormat="false" ht="15" hidden="false" customHeight="true" outlineLevel="0" collapsed="false">
      <c r="A123" s="28"/>
      <c r="B123" s="29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27" t="str">
        <f aca="false">IF($A123="","",SUM($C123:$Z123))</f>
        <v/>
      </c>
    </row>
    <row r="124" customFormat="false" ht="15" hidden="false" customHeight="true" outlineLevel="0" collapsed="false">
      <c r="A124" s="24"/>
      <c r="B124" s="2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27" t="str">
        <f aca="false">IF($A124="","",SUM($C124:$Z124))</f>
        <v/>
      </c>
    </row>
    <row r="125" customFormat="false" ht="15" hidden="false" customHeight="true" outlineLevel="0" collapsed="false">
      <c r="A125" s="28"/>
      <c r="B125" s="29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27" t="str">
        <f aca="false">IF($A125="","",SUM($C125:$Z125))</f>
        <v/>
      </c>
    </row>
    <row r="126" customFormat="false" ht="15" hidden="false" customHeight="true" outlineLevel="0" collapsed="false">
      <c r="A126" s="24"/>
      <c r="B126" s="2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27" t="str">
        <f aca="false">IF($A126="","",SUM($C126:$Z126))</f>
        <v/>
      </c>
    </row>
    <row r="127" customFormat="false" ht="15" hidden="false" customHeight="true" outlineLevel="0" collapsed="false">
      <c r="A127" s="28"/>
      <c r="B127" s="29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27" t="str">
        <f aca="false">IF($A127="","",SUM($C127:$Z127))</f>
        <v/>
      </c>
    </row>
    <row r="128" customFormat="false" ht="15" hidden="false" customHeight="true" outlineLevel="0" collapsed="false">
      <c r="A128" s="24"/>
      <c r="B128" s="2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27" t="str">
        <f aca="false">IF($A128="","",SUM($C128:$Z128))</f>
        <v/>
      </c>
    </row>
    <row r="129" customFormat="false" ht="15" hidden="false" customHeight="true" outlineLevel="0" collapsed="false">
      <c r="A129" s="28"/>
      <c r="B129" s="29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27" t="str">
        <f aca="false">IF($A129="","",SUM($C129:$Z129))</f>
        <v/>
      </c>
    </row>
    <row r="130" customFormat="false" ht="15" hidden="false" customHeight="true" outlineLevel="0" collapsed="false">
      <c r="A130" s="24"/>
      <c r="B130" s="2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27" t="str">
        <f aca="false">IF($A130="","",SUM($C130:$Z130))</f>
        <v/>
      </c>
    </row>
    <row r="131" customFormat="false" ht="15" hidden="false" customHeight="true" outlineLevel="0" collapsed="false">
      <c r="A131" s="28"/>
      <c r="B131" s="29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27" t="str">
        <f aca="false">IF($A131="","",SUM($C131:$Z131))</f>
        <v/>
      </c>
    </row>
    <row r="132" customFormat="false" ht="15" hidden="false" customHeight="true" outlineLevel="0" collapsed="false">
      <c r="A132" s="24"/>
      <c r="B132" s="2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27" t="str">
        <f aca="false">IF($A132="","",SUM($C132:$Z132))</f>
        <v/>
      </c>
    </row>
    <row r="133" customFormat="false" ht="15" hidden="false" customHeight="true" outlineLevel="0" collapsed="false">
      <c r="A133" s="28"/>
      <c r="B133" s="29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27" t="str">
        <f aca="false">IF($A133="","",SUM($C133:$Z133))</f>
        <v/>
      </c>
    </row>
    <row r="134" customFormat="false" ht="15" hidden="false" customHeight="true" outlineLevel="0" collapsed="false">
      <c r="A134" s="24"/>
      <c r="B134" s="2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27" t="str">
        <f aca="false">IF($A134="","",SUM($C134:$Z134))</f>
        <v/>
      </c>
    </row>
    <row r="135" customFormat="false" ht="15" hidden="false" customHeight="true" outlineLevel="0" collapsed="false">
      <c r="A135" s="28"/>
      <c r="B135" s="29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27" t="str">
        <f aca="false">IF($A135="","",SUM($C135:$Z135))</f>
        <v/>
      </c>
    </row>
    <row r="136" customFormat="false" ht="15" hidden="false" customHeight="true" outlineLevel="0" collapsed="false">
      <c r="A136" s="24"/>
      <c r="B136" s="2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27" t="str">
        <f aca="false">IF($A136="","",SUM($C136:$Z136))</f>
        <v/>
      </c>
    </row>
    <row r="137" customFormat="false" ht="15" hidden="false" customHeight="true" outlineLevel="0" collapsed="false">
      <c r="A137" s="28"/>
      <c r="B137" s="29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27" t="str">
        <f aca="false">IF($A137="","",SUM($C137:$Z137))</f>
        <v/>
      </c>
    </row>
    <row r="138" customFormat="false" ht="15" hidden="false" customHeight="true" outlineLevel="0" collapsed="false">
      <c r="A138" s="24"/>
      <c r="B138" s="2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27" t="str">
        <f aca="false">IF($A138="","",SUM($C138:$Z138))</f>
        <v/>
      </c>
    </row>
    <row r="139" customFormat="false" ht="15" hidden="false" customHeight="true" outlineLevel="0" collapsed="false">
      <c r="A139" s="28"/>
      <c r="B139" s="29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27" t="str">
        <f aca="false">IF($A139="","",SUM($C139:$Z139))</f>
        <v/>
      </c>
    </row>
    <row r="140" customFormat="false" ht="15" hidden="false" customHeight="true" outlineLevel="0" collapsed="false">
      <c r="A140" s="24"/>
      <c r="B140" s="2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27" t="str">
        <f aca="false">IF($A140="","",SUM($C140:$Z140))</f>
        <v/>
      </c>
    </row>
    <row r="141" customFormat="false" ht="15" hidden="false" customHeight="true" outlineLevel="0" collapsed="false">
      <c r="A141" s="28"/>
      <c r="B141" s="29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27" t="str">
        <f aca="false">IF($A141="","",SUM($C141:$Z141))</f>
        <v/>
      </c>
    </row>
    <row r="142" customFormat="false" ht="15" hidden="false" customHeight="true" outlineLevel="0" collapsed="false">
      <c r="A142" s="24"/>
      <c r="B142" s="2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27" t="str">
        <f aca="false">IF($A142="","",SUM($C142:$Z142))</f>
        <v/>
      </c>
    </row>
    <row r="143" customFormat="false" ht="15" hidden="false" customHeight="true" outlineLevel="0" collapsed="false">
      <c r="A143" s="28"/>
      <c r="B143" s="29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27" t="str">
        <f aca="false">IF($A143="","",SUM($C143:$Z143))</f>
        <v/>
      </c>
    </row>
    <row r="144" customFormat="false" ht="15" hidden="false" customHeight="true" outlineLevel="0" collapsed="false">
      <c r="A144" s="24"/>
      <c r="B144" s="2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27" t="str">
        <f aca="false">IF($A144="","",SUM($C144:$Z144))</f>
        <v/>
      </c>
    </row>
    <row r="145" customFormat="false" ht="15" hidden="false" customHeight="true" outlineLevel="0" collapsed="false">
      <c r="A145" s="28"/>
      <c r="B145" s="29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27" t="str">
        <f aca="false">IF($A145="","",SUM($C145:$Z145))</f>
        <v/>
      </c>
    </row>
    <row r="146" customFormat="false" ht="15" hidden="false" customHeight="true" outlineLevel="0" collapsed="false">
      <c r="A146" s="24"/>
      <c r="B146" s="2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27" t="str">
        <f aca="false">IF($A146="","",SUM($C146:$Z146))</f>
        <v/>
      </c>
    </row>
    <row r="147" customFormat="false" ht="15" hidden="false" customHeight="true" outlineLevel="0" collapsed="false">
      <c r="A147" s="28"/>
      <c r="B147" s="29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27" t="str">
        <f aca="false">IF($A147="","",SUM($C147:$Z147))</f>
        <v/>
      </c>
    </row>
    <row r="148" customFormat="false" ht="15" hidden="false" customHeight="true" outlineLevel="0" collapsed="false">
      <c r="A148" s="24"/>
      <c r="B148" s="2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27" t="str">
        <f aca="false">IF($A148="","",SUM($C148:$Z148))</f>
        <v/>
      </c>
    </row>
    <row r="149" customFormat="false" ht="15" hidden="false" customHeight="true" outlineLevel="0" collapsed="false">
      <c r="A149" s="28"/>
      <c r="B149" s="29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27" t="str">
        <f aca="false">IF($A149="","",SUM($C149:$Z149))</f>
        <v/>
      </c>
    </row>
    <row r="150" customFormat="false" ht="15" hidden="false" customHeight="true" outlineLevel="0" collapsed="false">
      <c r="A150" s="24"/>
      <c r="B150" s="2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27" t="str">
        <f aca="false">IF($A150="","",SUM($C150:$Z150))</f>
        <v/>
      </c>
    </row>
    <row r="151" customFormat="false" ht="15" hidden="false" customHeight="true" outlineLevel="0" collapsed="false">
      <c r="A151" s="28"/>
      <c r="B151" s="29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27" t="str">
        <f aca="false">IF($A151="","",SUM($C151:$Z151))</f>
        <v/>
      </c>
    </row>
    <row r="152" customFormat="false" ht="15" hidden="false" customHeight="true" outlineLevel="0" collapsed="false">
      <c r="A152" s="24"/>
      <c r="B152" s="2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27" t="str">
        <f aca="false">IF($A152="","",SUM($C152:$Z152))</f>
        <v/>
      </c>
    </row>
    <row r="153" customFormat="false" ht="15" hidden="false" customHeight="true" outlineLevel="0" collapsed="false">
      <c r="A153" s="28"/>
      <c r="B153" s="29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27" t="str">
        <f aca="false">IF($A153="","",SUM($C153:$Z153))</f>
        <v/>
      </c>
    </row>
    <row r="154" customFormat="false" ht="15" hidden="false" customHeight="true" outlineLevel="0" collapsed="false">
      <c r="A154" s="24"/>
      <c r="B154" s="2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27" t="str">
        <f aca="false">IF($A154="","",SUM($C154:$Z154))</f>
        <v/>
      </c>
    </row>
    <row r="155" customFormat="false" ht="15" hidden="false" customHeight="true" outlineLevel="0" collapsed="false">
      <c r="A155" s="28"/>
      <c r="B155" s="29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27" t="str">
        <f aca="false">IF($A155="","",SUM($C155:$Z155))</f>
        <v/>
      </c>
    </row>
    <row r="156" customFormat="false" ht="15" hidden="false" customHeight="true" outlineLevel="0" collapsed="false">
      <c r="A156" s="24"/>
      <c r="B156" s="2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27" t="str">
        <f aca="false">IF($A156="","",SUM($C156:$Z156))</f>
        <v/>
      </c>
    </row>
    <row r="157" customFormat="false" ht="15" hidden="false" customHeight="true" outlineLevel="0" collapsed="false">
      <c r="A157" s="28"/>
      <c r="B157" s="29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27" t="str">
        <f aca="false">IF($A157="","",SUM($C157:$Z157))</f>
        <v/>
      </c>
    </row>
    <row r="158" customFormat="false" ht="15" hidden="false" customHeight="true" outlineLevel="0" collapsed="false">
      <c r="A158" s="24"/>
      <c r="B158" s="2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27" t="str">
        <f aca="false">IF($A158="","",SUM($C158:$Z158))</f>
        <v/>
      </c>
    </row>
    <row r="159" customFormat="false" ht="15" hidden="false" customHeight="true" outlineLevel="0" collapsed="false">
      <c r="A159" s="28"/>
      <c r="B159" s="29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27" t="str">
        <f aca="false">IF($A159="","",SUM($C159:$Z159))</f>
        <v/>
      </c>
    </row>
    <row r="160" customFormat="false" ht="15" hidden="false" customHeight="true" outlineLevel="0" collapsed="false">
      <c r="A160" s="24"/>
      <c r="B160" s="2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27" t="str">
        <f aca="false">IF($A160="","",SUM($C160:$Z160))</f>
        <v/>
      </c>
    </row>
    <row r="161" customFormat="false" ht="15" hidden="false" customHeight="true" outlineLevel="0" collapsed="false">
      <c r="A161" s="28"/>
      <c r="B161" s="29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27" t="str">
        <f aca="false">IF($A161="","",SUM($C161:$Z161))</f>
        <v/>
      </c>
    </row>
    <row r="162" customFormat="false" ht="15" hidden="false" customHeight="true" outlineLevel="0" collapsed="false">
      <c r="A162" s="24"/>
      <c r="B162" s="2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27" t="str">
        <f aca="false">IF($A162="","",SUM($C162:$Z162))</f>
        <v/>
      </c>
    </row>
    <row r="163" customFormat="false" ht="15" hidden="false" customHeight="true" outlineLevel="0" collapsed="false">
      <c r="A163" s="28"/>
      <c r="B163" s="29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27" t="str">
        <f aca="false">IF($A163="","",SUM($C163:$Z163))</f>
        <v/>
      </c>
    </row>
    <row r="164" customFormat="false" ht="15" hidden="false" customHeight="true" outlineLevel="0" collapsed="false">
      <c r="A164" s="24"/>
      <c r="B164" s="2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27" t="str">
        <f aca="false">IF($A164="","",SUM($C164:$Z164))</f>
        <v/>
      </c>
    </row>
    <row r="165" customFormat="false" ht="15" hidden="false" customHeight="true" outlineLevel="0" collapsed="false">
      <c r="A165" s="28"/>
      <c r="B165" s="29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27" t="str">
        <f aca="false">IF($A165="","",SUM($C165:$Z165))</f>
        <v/>
      </c>
    </row>
    <row r="166" customFormat="false" ht="15" hidden="false" customHeight="true" outlineLevel="0" collapsed="false">
      <c r="A166" s="24"/>
      <c r="B166" s="2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27" t="str">
        <f aca="false">IF($A166="","",SUM($C166:$Z166))</f>
        <v/>
      </c>
    </row>
    <row r="167" customFormat="false" ht="15" hidden="false" customHeight="true" outlineLevel="0" collapsed="false">
      <c r="A167" s="28"/>
      <c r="B167" s="29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27" t="str">
        <f aca="false">IF($A167="","",SUM($C167:$Z167))</f>
        <v/>
      </c>
    </row>
    <row r="168" customFormat="false" ht="15" hidden="false" customHeight="true" outlineLevel="0" collapsed="false">
      <c r="A168" s="24"/>
      <c r="B168" s="2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27" t="str">
        <f aca="false">IF($A168="","",SUM($C168:$Z168))</f>
        <v/>
      </c>
    </row>
    <row r="169" customFormat="false" ht="15" hidden="false" customHeight="true" outlineLevel="0" collapsed="false">
      <c r="A169" s="28"/>
      <c r="B169" s="29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27" t="str">
        <f aca="false">IF($A169="","",SUM($C169:$Z169))</f>
        <v/>
      </c>
    </row>
    <row r="170" customFormat="false" ht="15" hidden="false" customHeight="true" outlineLevel="0" collapsed="false">
      <c r="A170" s="24"/>
      <c r="B170" s="2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27" t="str">
        <f aca="false">IF($A170="","",SUM($C170:$Z170))</f>
        <v/>
      </c>
    </row>
    <row r="171" customFormat="false" ht="15" hidden="false" customHeight="true" outlineLevel="0" collapsed="false">
      <c r="A171" s="28"/>
      <c r="B171" s="29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27" t="str">
        <f aca="false">IF($A171="","",SUM($C171:$Z171))</f>
        <v/>
      </c>
    </row>
    <row r="172" customFormat="false" ht="15" hidden="false" customHeight="true" outlineLevel="0" collapsed="false">
      <c r="A172" s="24"/>
      <c r="B172" s="2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27" t="str">
        <f aca="false">IF($A172="","",SUM($C172:$Z172))</f>
        <v/>
      </c>
    </row>
    <row r="173" customFormat="false" ht="15" hidden="false" customHeight="true" outlineLevel="0" collapsed="false">
      <c r="A173" s="28"/>
      <c r="B173" s="29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27" t="str">
        <f aca="false">IF($A173="","",SUM($C173:$Z173))</f>
        <v/>
      </c>
    </row>
    <row r="174" customFormat="false" ht="15" hidden="false" customHeight="true" outlineLevel="0" collapsed="false">
      <c r="A174" s="24"/>
      <c r="B174" s="2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27" t="str">
        <f aca="false">IF($A174="","",SUM($C174:$Z174))</f>
        <v/>
      </c>
    </row>
    <row r="175" customFormat="false" ht="15" hidden="false" customHeight="true" outlineLevel="0" collapsed="false">
      <c r="A175" s="28"/>
      <c r="B175" s="29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27" t="str">
        <f aca="false">IF($A175="","",SUM($C175:$Z175))</f>
        <v/>
      </c>
    </row>
    <row r="176" customFormat="false" ht="15" hidden="false" customHeight="true" outlineLevel="0" collapsed="false">
      <c r="A176" s="24"/>
      <c r="B176" s="2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27" t="str">
        <f aca="false">IF($A176="","",SUM($C176:$Z176))</f>
        <v/>
      </c>
    </row>
    <row r="177" customFormat="false" ht="15" hidden="false" customHeight="true" outlineLevel="0" collapsed="false">
      <c r="A177" s="28"/>
      <c r="B177" s="29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27" t="str">
        <f aca="false">IF($A177="","",SUM($C177:$Z177))</f>
        <v/>
      </c>
    </row>
    <row r="178" customFormat="false" ht="15" hidden="false" customHeight="true" outlineLevel="0" collapsed="false">
      <c r="A178" s="24"/>
      <c r="B178" s="2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27" t="str">
        <f aca="false">IF($A178="","",SUM($C178:$Z178))</f>
        <v/>
      </c>
    </row>
    <row r="179" customFormat="false" ht="15" hidden="false" customHeight="true" outlineLevel="0" collapsed="false">
      <c r="A179" s="28"/>
      <c r="B179" s="29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27" t="str">
        <f aca="false">IF($A179="","",SUM($C179:$Z179))</f>
        <v/>
      </c>
    </row>
    <row r="180" customFormat="false" ht="15" hidden="false" customHeight="true" outlineLevel="0" collapsed="false">
      <c r="A180" s="24"/>
      <c r="B180" s="2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27" t="str">
        <f aca="false">IF($A180="","",SUM($C180:$Z180))</f>
        <v/>
      </c>
    </row>
    <row r="181" customFormat="false" ht="15" hidden="false" customHeight="true" outlineLevel="0" collapsed="false">
      <c r="A181" s="28"/>
      <c r="B181" s="29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27" t="str">
        <f aca="false">IF($A181="","",SUM($C181:$Z181))</f>
        <v/>
      </c>
    </row>
    <row r="182" customFormat="false" ht="15" hidden="false" customHeight="true" outlineLevel="0" collapsed="false">
      <c r="A182" s="24"/>
      <c r="B182" s="2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27" t="str">
        <f aca="false">IF($A182="","",SUM($C182:$Z182))</f>
        <v/>
      </c>
    </row>
    <row r="183" customFormat="false" ht="15" hidden="false" customHeight="true" outlineLevel="0" collapsed="false">
      <c r="A183" s="28"/>
      <c r="B183" s="29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27" t="str">
        <f aca="false">IF($A183="","",SUM($C183:$Z183))</f>
        <v/>
      </c>
    </row>
    <row r="184" customFormat="false" ht="15" hidden="false" customHeight="true" outlineLevel="0" collapsed="false">
      <c r="A184" s="24"/>
      <c r="B184" s="2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27" t="str">
        <f aca="false">IF($A184="","",SUM($C184:$Z184))</f>
        <v/>
      </c>
    </row>
    <row r="185" customFormat="false" ht="15" hidden="false" customHeight="true" outlineLevel="0" collapsed="false">
      <c r="A185" s="28"/>
      <c r="B185" s="29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27" t="str">
        <f aca="false">IF($A185="","",SUM($C185:$Z185))</f>
        <v/>
      </c>
    </row>
    <row r="186" customFormat="false" ht="15" hidden="false" customHeight="true" outlineLevel="0" collapsed="false">
      <c r="A186" s="24"/>
      <c r="B186" s="2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27" t="str">
        <f aca="false">IF($A186="","",SUM($C186:$Z186))</f>
        <v/>
      </c>
    </row>
    <row r="187" customFormat="false" ht="15" hidden="false" customHeight="true" outlineLevel="0" collapsed="false">
      <c r="A187" s="28"/>
      <c r="B187" s="29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27" t="str">
        <f aca="false">IF($A187="","",SUM($C187:$Z187))</f>
        <v/>
      </c>
    </row>
    <row r="188" customFormat="false" ht="15" hidden="false" customHeight="true" outlineLevel="0" collapsed="false">
      <c r="A188" s="24"/>
      <c r="B188" s="2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27" t="str">
        <f aca="false">IF($A188="","",SUM($C188:$Z188))</f>
        <v/>
      </c>
    </row>
    <row r="189" customFormat="false" ht="15" hidden="false" customHeight="true" outlineLevel="0" collapsed="false">
      <c r="A189" s="28"/>
      <c r="B189" s="29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27" t="str">
        <f aca="false">IF($A189="","",SUM($C189:$Z189))</f>
        <v/>
      </c>
    </row>
    <row r="190" customFormat="false" ht="15" hidden="false" customHeight="true" outlineLevel="0" collapsed="false">
      <c r="A190" s="24"/>
      <c r="B190" s="2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27" t="str">
        <f aca="false">IF($A190="","",SUM($C190:$Z190))</f>
        <v/>
      </c>
    </row>
    <row r="191" customFormat="false" ht="15" hidden="false" customHeight="true" outlineLevel="0" collapsed="false">
      <c r="A191" s="28"/>
      <c r="B191" s="29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27" t="str">
        <f aca="false">IF($A191="","",SUM($C191:$Z191))</f>
        <v/>
      </c>
    </row>
    <row r="192" customFormat="false" ht="15" hidden="false" customHeight="true" outlineLevel="0" collapsed="false">
      <c r="A192" s="24"/>
      <c r="B192" s="2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27" t="str">
        <f aca="false">IF($A192="","",SUM($C192:$Z192))</f>
        <v/>
      </c>
    </row>
    <row r="193" customFormat="false" ht="15" hidden="false" customHeight="true" outlineLevel="0" collapsed="false">
      <c r="A193" s="28"/>
      <c r="B193" s="29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27" t="str">
        <f aca="false">IF($A193="","",SUM($C193:$Z193))</f>
        <v/>
      </c>
    </row>
    <row r="194" customFormat="false" ht="15" hidden="false" customHeight="true" outlineLevel="0" collapsed="false">
      <c r="A194" s="24"/>
      <c r="B194" s="2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27" t="str">
        <f aca="false">IF($A194="","",SUM($C194:$Z194))</f>
        <v/>
      </c>
    </row>
    <row r="195" customFormat="false" ht="15" hidden="false" customHeight="true" outlineLevel="0" collapsed="false">
      <c r="A195" s="28"/>
      <c r="B195" s="29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27" t="str">
        <f aca="false">IF($A195="","",SUM($C195:$Z195))</f>
        <v/>
      </c>
    </row>
    <row r="196" customFormat="false" ht="15" hidden="false" customHeight="true" outlineLevel="0" collapsed="false">
      <c r="A196" s="24"/>
      <c r="B196" s="2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27" t="str">
        <f aca="false">IF($A196="","",SUM($C196:$Z196))</f>
        <v/>
      </c>
    </row>
    <row r="197" customFormat="false" ht="15" hidden="false" customHeight="true" outlineLevel="0" collapsed="false">
      <c r="A197" s="28"/>
      <c r="B197" s="29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27" t="str">
        <f aca="false">IF($A197="","",SUM($C197:$Z197))</f>
        <v/>
      </c>
    </row>
    <row r="198" customFormat="false" ht="15" hidden="false" customHeight="true" outlineLevel="0" collapsed="false">
      <c r="A198" s="24"/>
      <c r="B198" s="2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27" t="str">
        <f aca="false">IF($A198="","",SUM($C198:$Z198))</f>
        <v/>
      </c>
    </row>
    <row r="199" customFormat="false" ht="15" hidden="false" customHeight="true" outlineLevel="0" collapsed="false">
      <c r="A199" s="28"/>
      <c r="B199" s="29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27" t="str">
        <f aca="false">IF($A199="","",SUM($C199:$Z199))</f>
        <v/>
      </c>
    </row>
    <row r="200" customFormat="false" ht="15" hidden="false" customHeight="true" outlineLevel="0" collapsed="false">
      <c r="A200" s="24"/>
      <c r="B200" s="2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27" t="str">
        <f aca="false">IF($A200="","",SUM($C200:$Z200))</f>
        <v/>
      </c>
    </row>
    <row r="201" customFormat="false" ht="15" hidden="false" customHeight="true" outlineLevel="0" collapsed="false">
      <c r="A201" s="28"/>
      <c r="B201" s="29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27" t="str">
        <f aca="false">IF($A201="","",SUM($C201:$Z201))</f>
        <v/>
      </c>
    </row>
    <row r="202" customFormat="false" ht="15" hidden="false" customHeight="true" outlineLevel="0" collapsed="false">
      <c r="A202" s="24"/>
      <c r="B202" s="2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27" t="str">
        <f aca="false">IF($A202="","",SUM($C202:$Z202))</f>
        <v/>
      </c>
    </row>
    <row r="203" customFormat="false" ht="15" hidden="false" customHeight="true" outlineLevel="0" collapsed="false">
      <c r="A203" s="28"/>
      <c r="B203" s="29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27" t="str">
        <f aca="false">IF($A203="","",SUM($C203:$Z203))</f>
        <v/>
      </c>
    </row>
    <row r="204" customFormat="false" ht="15" hidden="false" customHeight="true" outlineLevel="0" collapsed="false">
      <c r="A204" s="24"/>
      <c r="B204" s="2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27" t="str">
        <f aca="false">IF($A204="","",SUM($C204:$Z204))</f>
        <v/>
      </c>
    </row>
    <row r="205" customFormat="false" ht="15" hidden="false" customHeight="true" outlineLevel="0" collapsed="false">
      <c r="A205" s="28"/>
      <c r="B205" s="29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27" t="str">
        <f aca="false">IF($A205="","",SUM($C205:$Z205))</f>
        <v/>
      </c>
    </row>
    <row r="206" customFormat="false" ht="15" hidden="false" customHeight="true" outlineLevel="0" collapsed="false">
      <c r="A206" s="24"/>
      <c r="B206" s="2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27" t="str">
        <f aca="false">IF($A206="","",SUM($C206:$Z206))</f>
        <v/>
      </c>
    </row>
    <row r="207" customFormat="false" ht="15" hidden="false" customHeight="true" outlineLevel="0" collapsed="false">
      <c r="A207" s="28"/>
      <c r="B207" s="29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27" t="str">
        <f aca="false">IF($A207="","",SUM($C207:$Z207))</f>
        <v/>
      </c>
    </row>
    <row r="208" customFormat="false" ht="15" hidden="false" customHeight="true" outlineLevel="0" collapsed="false">
      <c r="A208" s="24"/>
      <c r="B208" s="2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27" t="str">
        <f aca="false">IF($A208="","",SUM($C208:$Z208))</f>
        <v/>
      </c>
    </row>
    <row r="209" customFormat="false" ht="15" hidden="false" customHeight="true" outlineLevel="0" collapsed="false">
      <c r="A209" s="28"/>
      <c r="B209" s="29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27" t="str">
        <f aca="false">IF($A209="","",SUM($C209:$Z209))</f>
        <v/>
      </c>
    </row>
    <row r="210" customFormat="false" ht="15" hidden="false" customHeight="true" outlineLevel="0" collapsed="false">
      <c r="A210" s="24"/>
      <c r="B210" s="2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27" t="str">
        <f aca="false">IF($A210="","",SUM($C210:$Z210))</f>
        <v/>
      </c>
    </row>
    <row r="211" customFormat="false" ht="15" hidden="false" customHeight="true" outlineLevel="0" collapsed="false">
      <c r="A211" s="28"/>
      <c r="B211" s="29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27" t="str">
        <f aca="false">IF($A211="","",SUM($C211:$Z211))</f>
        <v/>
      </c>
    </row>
    <row r="212" customFormat="false" ht="15" hidden="false" customHeight="true" outlineLevel="0" collapsed="false">
      <c r="A212" s="24"/>
      <c r="B212" s="2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27" t="str">
        <f aca="false">IF($A212="","",SUM($C212:$Z212))</f>
        <v/>
      </c>
    </row>
    <row r="213" customFormat="false" ht="15" hidden="false" customHeight="true" outlineLevel="0" collapsed="false">
      <c r="A213" s="28"/>
      <c r="B213" s="29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27" t="str">
        <f aca="false">IF($A213="","",SUM($C213:$Z213))</f>
        <v/>
      </c>
    </row>
    <row r="214" customFormat="false" ht="15" hidden="false" customHeight="true" outlineLevel="0" collapsed="false">
      <c r="A214" s="24"/>
      <c r="B214" s="2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27" t="str">
        <f aca="false">IF($A214="","",SUM($C214:$Z214))</f>
        <v/>
      </c>
    </row>
    <row r="215" customFormat="false" ht="15" hidden="false" customHeight="true" outlineLevel="0" collapsed="false">
      <c r="A215" s="28"/>
      <c r="B215" s="29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27" t="str">
        <f aca="false">IF($A215="","",SUM($C215:$Z215))</f>
        <v/>
      </c>
    </row>
    <row r="216" customFormat="false" ht="15" hidden="false" customHeight="true" outlineLevel="0" collapsed="false">
      <c r="A216" s="24"/>
      <c r="B216" s="2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27" t="str">
        <f aca="false">IF($A216="","",SUM($C216:$Z216))</f>
        <v/>
      </c>
    </row>
    <row r="217" customFormat="false" ht="15" hidden="false" customHeight="true" outlineLevel="0" collapsed="false">
      <c r="A217" s="28"/>
      <c r="B217" s="29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27" t="str">
        <f aca="false">IF($A217="","",SUM($C217:$Z217))</f>
        <v/>
      </c>
    </row>
    <row r="218" customFormat="false" ht="15" hidden="false" customHeight="true" outlineLevel="0" collapsed="false">
      <c r="A218" s="24"/>
      <c r="B218" s="2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27" t="str">
        <f aca="false">IF($A218="","",SUM($C218:$Z218))</f>
        <v/>
      </c>
    </row>
    <row r="219" customFormat="false" ht="15" hidden="false" customHeight="true" outlineLevel="0" collapsed="false">
      <c r="A219" s="28"/>
      <c r="B219" s="29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27" t="str">
        <f aca="false">IF($A219="","",SUM($C219:$Z219))</f>
        <v/>
      </c>
    </row>
    <row r="220" customFormat="false" ht="15" hidden="false" customHeight="true" outlineLevel="0" collapsed="false">
      <c r="A220" s="24"/>
      <c r="B220" s="2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27" t="str">
        <f aca="false">IF($A220="","",SUM($C220:$Z220))</f>
        <v/>
      </c>
    </row>
    <row r="221" customFormat="false" ht="15" hidden="false" customHeight="true" outlineLevel="0" collapsed="false">
      <c r="A221" s="28"/>
      <c r="B221" s="29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27" t="str">
        <f aca="false">IF($A221="","",SUM($C221:$Z221))</f>
        <v/>
      </c>
    </row>
    <row r="222" customFormat="false" ht="15" hidden="false" customHeight="true" outlineLevel="0" collapsed="false">
      <c r="A222" s="24"/>
      <c r="B222" s="2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27" t="str">
        <f aca="false">IF($A222="","",SUM($C222:$Z222))</f>
        <v/>
      </c>
    </row>
    <row r="223" customFormat="false" ht="15" hidden="false" customHeight="true" outlineLevel="0" collapsed="false">
      <c r="A223" s="28"/>
      <c r="B223" s="29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27" t="str">
        <f aca="false">IF($A223="","",SUM($C223:$Z223))</f>
        <v/>
      </c>
    </row>
    <row r="224" customFormat="false" ht="15" hidden="false" customHeight="true" outlineLevel="0" collapsed="false">
      <c r="A224" s="24"/>
      <c r="B224" s="2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27" t="str">
        <f aca="false">IF($A224="","",SUM($C224:$Z224))</f>
        <v/>
      </c>
    </row>
    <row r="225" customFormat="false" ht="15" hidden="false" customHeight="true" outlineLevel="0" collapsed="false">
      <c r="A225" s="28"/>
      <c r="B225" s="29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27" t="str">
        <f aca="false">IF($A225="","",SUM($C225:$Z225))</f>
        <v/>
      </c>
    </row>
    <row r="226" customFormat="false" ht="15" hidden="false" customHeight="true" outlineLevel="0" collapsed="false">
      <c r="A226" s="24"/>
      <c r="B226" s="2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27" t="str">
        <f aca="false">IF($A226="","",SUM($C226:$Z226))</f>
        <v/>
      </c>
    </row>
    <row r="227" customFormat="false" ht="15" hidden="false" customHeight="true" outlineLevel="0" collapsed="false">
      <c r="A227" s="28"/>
      <c r="B227" s="29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27" t="str">
        <f aca="false">IF($A227="","",SUM($C227:$Z227))</f>
        <v/>
      </c>
    </row>
    <row r="228" customFormat="false" ht="15" hidden="false" customHeight="true" outlineLevel="0" collapsed="false">
      <c r="A228" s="24"/>
      <c r="B228" s="2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27" t="str">
        <f aca="false">IF($A228="","",SUM($C228:$Z228))</f>
        <v/>
      </c>
    </row>
    <row r="229" customFormat="false" ht="15" hidden="false" customHeight="true" outlineLevel="0" collapsed="false">
      <c r="A229" s="28"/>
      <c r="B229" s="29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27" t="str">
        <f aca="false">IF($A229="","",SUM($C229:$Z229))</f>
        <v/>
      </c>
    </row>
    <row r="230" customFormat="false" ht="15" hidden="false" customHeight="true" outlineLevel="0" collapsed="false">
      <c r="A230" s="24"/>
      <c r="B230" s="2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27" t="str">
        <f aca="false">IF($A230="","",SUM($C230:$Z230))</f>
        <v/>
      </c>
    </row>
    <row r="231" customFormat="false" ht="15" hidden="false" customHeight="true" outlineLevel="0" collapsed="false">
      <c r="A231" s="28"/>
      <c r="B231" s="29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27" t="str">
        <f aca="false">IF($A231="","",SUM($C231:$Z231))</f>
        <v/>
      </c>
    </row>
    <row r="232" customFormat="false" ht="15" hidden="false" customHeight="true" outlineLevel="0" collapsed="false">
      <c r="A232" s="24"/>
      <c r="B232" s="2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27" t="str">
        <f aca="false">IF($A232="","",SUM($C232:$Z232))</f>
        <v/>
      </c>
    </row>
    <row r="233" customFormat="false" ht="15" hidden="false" customHeight="true" outlineLevel="0" collapsed="false">
      <c r="A233" s="28"/>
      <c r="B233" s="29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27" t="str">
        <f aca="false">IF($A233="","",SUM($C233:$Z233))</f>
        <v/>
      </c>
    </row>
    <row r="234" customFormat="false" ht="15" hidden="false" customHeight="true" outlineLevel="0" collapsed="false">
      <c r="A234" s="24"/>
      <c r="B234" s="2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27" t="str">
        <f aca="false">IF($A234="","",SUM($C234:$Z234))</f>
        <v/>
      </c>
    </row>
    <row r="235" customFormat="false" ht="15" hidden="false" customHeight="true" outlineLevel="0" collapsed="false">
      <c r="A235" s="28"/>
      <c r="B235" s="29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27" t="str">
        <f aca="false">IF($A235="","",SUM($C235:$Z235))</f>
        <v/>
      </c>
    </row>
    <row r="236" customFormat="false" ht="15" hidden="false" customHeight="true" outlineLevel="0" collapsed="false">
      <c r="A236" s="24"/>
      <c r="B236" s="2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27" t="str">
        <f aca="false">IF($A236="","",SUM($C236:$Z236))</f>
        <v/>
      </c>
    </row>
    <row r="237" customFormat="false" ht="15" hidden="false" customHeight="true" outlineLevel="0" collapsed="false">
      <c r="A237" s="28"/>
      <c r="B237" s="29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27" t="str">
        <f aca="false">IF($A237="","",SUM($C237:$Z237))</f>
        <v/>
      </c>
    </row>
    <row r="238" customFormat="false" ht="15" hidden="false" customHeight="true" outlineLevel="0" collapsed="false">
      <c r="A238" s="24"/>
      <c r="B238" s="2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27" t="str">
        <f aca="false">IF($A238="","",SUM($C238:$Z238))</f>
        <v/>
      </c>
    </row>
    <row r="239" customFormat="false" ht="15" hidden="false" customHeight="true" outlineLevel="0" collapsed="false">
      <c r="A239" s="28"/>
      <c r="B239" s="29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27" t="str">
        <f aca="false">IF($A239="","",SUM($C239:$Z239))</f>
        <v/>
      </c>
    </row>
    <row r="240" customFormat="false" ht="15" hidden="false" customHeight="true" outlineLevel="0" collapsed="false">
      <c r="A240" s="24"/>
      <c r="B240" s="2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27" t="str">
        <f aca="false">IF($A240="","",SUM($C240:$Z240))</f>
        <v/>
      </c>
    </row>
    <row r="241" customFormat="false" ht="15" hidden="false" customHeight="true" outlineLevel="0" collapsed="false">
      <c r="A241" s="28"/>
      <c r="B241" s="29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27" t="str">
        <f aca="false">IF($A241="","",SUM($C241:$Z241))</f>
        <v/>
      </c>
    </row>
    <row r="242" customFormat="false" ht="15" hidden="false" customHeight="true" outlineLevel="0" collapsed="false">
      <c r="A242" s="24"/>
      <c r="B242" s="2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27" t="str">
        <f aca="false">IF($A242="","",SUM($C242:$Z242))</f>
        <v/>
      </c>
    </row>
    <row r="243" customFormat="false" ht="15" hidden="false" customHeight="true" outlineLevel="0" collapsed="false">
      <c r="A243" s="28"/>
      <c r="B243" s="29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27" t="str">
        <f aca="false">IF($A243="","",SUM($C243:$Z243))</f>
        <v/>
      </c>
    </row>
    <row r="244" customFormat="false" ht="15" hidden="false" customHeight="true" outlineLevel="0" collapsed="false">
      <c r="A244" s="24"/>
      <c r="B244" s="2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27" t="str">
        <f aca="false">IF($A244="","",SUM($C244:$Z244))</f>
        <v/>
      </c>
    </row>
    <row r="245" customFormat="false" ht="15" hidden="false" customHeight="true" outlineLevel="0" collapsed="false">
      <c r="A245" s="28"/>
      <c r="B245" s="29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27" t="str">
        <f aca="false">IF($A245="","",SUM($C245:$Z245))</f>
        <v/>
      </c>
    </row>
    <row r="246" customFormat="false" ht="15" hidden="false" customHeight="true" outlineLevel="0" collapsed="false">
      <c r="A246" s="24"/>
      <c r="B246" s="2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27" t="str">
        <f aca="false">IF($A246="","",SUM($C246:$Z246))</f>
        <v/>
      </c>
    </row>
    <row r="247" customFormat="false" ht="15" hidden="false" customHeight="true" outlineLevel="0" collapsed="false">
      <c r="A247" s="28"/>
      <c r="B247" s="29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27" t="str">
        <f aca="false">IF($A247="","",SUM($C247:$Z247))</f>
        <v/>
      </c>
    </row>
    <row r="248" customFormat="false" ht="15" hidden="false" customHeight="true" outlineLevel="0" collapsed="false">
      <c r="A248" s="24"/>
      <c r="B248" s="2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27" t="str">
        <f aca="false">IF($A248="","",SUM($C248:$Z248))</f>
        <v/>
      </c>
    </row>
    <row r="249" customFormat="false" ht="15" hidden="false" customHeight="true" outlineLevel="0" collapsed="false">
      <c r="A249" s="28"/>
      <c r="B249" s="29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27" t="str">
        <f aca="false">IF($A249="","",SUM($C249:$Z249))</f>
        <v/>
      </c>
    </row>
    <row r="250" customFormat="false" ht="15" hidden="false" customHeight="true" outlineLevel="0" collapsed="false">
      <c r="A250" s="24"/>
      <c r="B250" s="2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27" t="str">
        <f aca="false">IF($A250="","",SUM($C250:$Z250))</f>
        <v/>
      </c>
    </row>
    <row r="251" customFormat="false" ht="15" hidden="false" customHeight="true" outlineLevel="0" collapsed="false">
      <c r="A251" s="28"/>
      <c r="B251" s="29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27" t="str">
        <f aca="false">IF($A251="","",SUM($C251:$Z251))</f>
        <v/>
      </c>
    </row>
    <row r="252" customFormat="false" ht="15" hidden="false" customHeight="true" outlineLevel="0" collapsed="false">
      <c r="A252" s="24"/>
      <c r="B252" s="2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27" t="str">
        <f aca="false">IF($A252="","",SUM($C252:$Z252))</f>
        <v/>
      </c>
    </row>
    <row r="253" customFormat="false" ht="15" hidden="false" customHeight="true" outlineLevel="0" collapsed="false">
      <c r="A253" s="28"/>
      <c r="B253" s="29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27" t="str">
        <f aca="false">IF($A253="","",SUM($C253:$Z253))</f>
        <v/>
      </c>
    </row>
    <row r="254" customFormat="false" ht="15" hidden="false" customHeight="true" outlineLevel="0" collapsed="false">
      <c r="A254" s="24"/>
      <c r="B254" s="2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27" t="str">
        <f aca="false">IF($A254="","",SUM($C254:$Z254))</f>
        <v/>
      </c>
    </row>
    <row r="255" customFormat="false" ht="15" hidden="false" customHeight="true" outlineLevel="0" collapsed="false">
      <c r="A255" s="28"/>
      <c r="B255" s="29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27" t="str">
        <f aca="false">IF($A255="","",SUM($C255:$Z255))</f>
        <v/>
      </c>
    </row>
    <row r="256" customFormat="false" ht="15" hidden="false" customHeight="true" outlineLevel="0" collapsed="false">
      <c r="A256" s="24"/>
      <c r="B256" s="2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27" t="str">
        <f aca="false">IF($A256="","",SUM($C256:$Z256))</f>
        <v/>
      </c>
    </row>
    <row r="257" customFormat="false" ht="15" hidden="false" customHeight="true" outlineLevel="0" collapsed="false">
      <c r="A257" s="28"/>
      <c r="B257" s="29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27" t="str">
        <f aca="false">IF($A257="","",SUM($C257:$Z257))</f>
        <v/>
      </c>
    </row>
    <row r="258" customFormat="false" ht="15" hidden="false" customHeight="true" outlineLevel="0" collapsed="false">
      <c r="A258" s="24"/>
      <c r="B258" s="2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27" t="str">
        <f aca="false">IF($A258="","",SUM($C258:$Z258))</f>
        <v/>
      </c>
    </row>
    <row r="259" customFormat="false" ht="15" hidden="false" customHeight="true" outlineLevel="0" collapsed="false">
      <c r="A259" s="28"/>
      <c r="B259" s="29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27" t="str">
        <f aca="false">IF($A259="","",SUM($C259:$Z259))</f>
        <v/>
      </c>
    </row>
    <row r="260" customFormat="false" ht="15" hidden="false" customHeight="true" outlineLevel="0" collapsed="false">
      <c r="A260" s="24"/>
      <c r="B260" s="2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27" t="str">
        <f aca="false">IF($A260="","",SUM($C260:$Z260))</f>
        <v/>
      </c>
    </row>
    <row r="261" customFormat="false" ht="15" hidden="false" customHeight="true" outlineLevel="0" collapsed="false">
      <c r="A261" s="28"/>
      <c r="B261" s="29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27" t="str">
        <f aca="false">IF($A261="","",SUM($C261:$Z261))</f>
        <v/>
      </c>
    </row>
    <row r="262" customFormat="false" ht="15" hidden="false" customHeight="true" outlineLevel="0" collapsed="false">
      <c r="A262" s="24"/>
      <c r="B262" s="2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27" t="str">
        <f aca="false">IF($A262="","",SUM($C262:$Z262))</f>
        <v/>
      </c>
    </row>
    <row r="263" customFormat="false" ht="15" hidden="false" customHeight="true" outlineLevel="0" collapsed="false">
      <c r="A263" s="28"/>
      <c r="B263" s="29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27" t="str">
        <f aca="false">IF($A263="","",SUM($C263:$Z263))</f>
        <v/>
      </c>
    </row>
    <row r="264" customFormat="false" ht="15" hidden="false" customHeight="true" outlineLevel="0" collapsed="false">
      <c r="A264" s="24"/>
      <c r="B264" s="2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27" t="str">
        <f aca="false">IF($A264="","",SUM($C264:$Z264))</f>
        <v/>
      </c>
    </row>
    <row r="265" customFormat="false" ht="15" hidden="false" customHeight="true" outlineLevel="0" collapsed="false">
      <c r="A265" s="28"/>
      <c r="B265" s="29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27" t="str">
        <f aca="false">IF($A265="","",SUM($C265:$Z265))</f>
        <v/>
      </c>
    </row>
    <row r="266" customFormat="false" ht="15" hidden="false" customHeight="true" outlineLevel="0" collapsed="false">
      <c r="A266" s="24"/>
      <c r="B266" s="2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27" t="str">
        <f aca="false">IF($A266="","",SUM($C266:$Z266))</f>
        <v/>
      </c>
    </row>
    <row r="267" customFormat="false" ht="15" hidden="false" customHeight="true" outlineLevel="0" collapsed="false">
      <c r="A267" s="28"/>
      <c r="B267" s="29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27" t="str">
        <f aca="false">IF($A267="","",SUM($C267:$Z267))</f>
        <v/>
      </c>
    </row>
    <row r="268" customFormat="false" ht="15" hidden="false" customHeight="true" outlineLevel="0" collapsed="false">
      <c r="A268" s="24"/>
      <c r="B268" s="2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27" t="str">
        <f aca="false">IF($A268="","",SUM($C268:$Z268))</f>
        <v/>
      </c>
    </row>
    <row r="269" customFormat="false" ht="15" hidden="false" customHeight="true" outlineLevel="0" collapsed="false">
      <c r="A269" s="28"/>
      <c r="B269" s="29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27" t="str">
        <f aca="false">IF($A269="","",SUM($C269:$Z269))</f>
        <v/>
      </c>
    </row>
    <row r="270" customFormat="false" ht="15" hidden="false" customHeight="true" outlineLevel="0" collapsed="false">
      <c r="A270" s="24"/>
      <c r="B270" s="2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27" t="str">
        <f aca="false">IF($A270="","",SUM($C270:$Z270))</f>
        <v/>
      </c>
    </row>
    <row r="271" customFormat="false" ht="15" hidden="false" customHeight="true" outlineLevel="0" collapsed="false">
      <c r="A271" s="28"/>
      <c r="B271" s="29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27" t="str">
        <f aca="false">IF($A271="","",SUM($C271:$Z271))</f>
        <v/>
      </c>
    </row>
    <row r="272" customFormat="false" ht="15" hidden="false" customHeight="true" outlineLevel="0" collapsed="false">
      <c r="A272" s="24"/>
      <c r="B272" s="2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27" t="str">
        <f aca="false">IF($A272="","",SUM($C272:$Z272))</f>
        <v/>
      </c>
    </row>
    <row r="273" customFormat="false" ht="15" hidden="false" customHeight="true" outlineLevel="0" collapsed="false">
      <c r="A273" s="28"/>
      <c r="B273" s="29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27" t="str">
        <f aca="false">IF($A273="","",SUM($C273:$Z273))</f>
        <v/>
      </c>
    </row>
    <row r="274" customFormat="false" ht="15" hidden="false" customHeight="true" outlineLevel="0" collapsed="false">
      <c r="A274" s="24"/>
      <c r="B274" s="2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27" t="str">
        <f aca="false">IF($A274="","",SUM($C274:$Z274))</f>
        <v/>
      </c>
    </row>
    <row r="275" customFormat="false" ht="15" hidden="false" customHeight="true" outlineLevel="0" collapsed="false">
      <c r="A275" s="28"/>
      <c r="B275" s="29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27" t="str">
        <f aca="false">IF($A275="","",SUM($C275:$Z275))</f>
        <v/>
      </c>
    </row>
    <row r="276" customFormat="false" ht="15" hidden="false" customHeight="true" outlineLevel="0" collapsed="false">
      <c r="A276" s="24"/>
      <c r="B276" s="2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27" t="str">
        <f aca="false">IF($A276="","",SUM($C276:$Z276))</f>
        <v/>
      </c>
    </row>
    <row r="277" customFormat="false" ht="15" hidden="false" customHeight="true" outlineLevel="0" collapsed="false">
      <c r="A277" s="28"/>
      <c r="B277" s="29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27" t="str">
        <f aca="false">IF($A277="","",SUM($C277:$Z277))</f>
        <v/>
      </c>
    </row>
    <row r="278" customFormat="false" ht="15" hidden="false" customHeight="true" outlineLevel="0" collapsed="false">
      <c r="A278" s="24"/>
      <c r="B278" s="2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27" t="str">
        <f aca="false">IF($A278="","",SUM($C278:$Z278))</f>
        <v/>
      </c>
    </row>
    <row r="279" customFormat="false" ht="15" hidden="false" customHeight="true" outlineLevel="0" collapsed="false">
      <c r="A279" s="28"/>
      <c r="B279" s="29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27" t="str">
        <f aca="false">IF($A279="","",SUM($C279:$Z279))</f>
        <v/>
      </c>
    </row>
    <row r="280" customFormat="false" ht="15" hidden="false" customHeight="true" outlineLevel="0" collapsed="false">
      <c r="A280" s="24"/>
      <c r="B280" s="2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27" t="str">
        <f aca="false">IF($A280="","",SUM($C280:$Z280))</f>
        <v/>
      </c>
    </row>
    <row r="281" customFormat="false" ht="15" hidden="false" customHeight="true" outlineLevel="0" collapsed="false">
      <c r="A281" s="28"/>
      <c r="B281" s="29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27" t="str">
        <f aca="false">IF($A281="","",SUM($C281:$Z281))</f>
        <v/>
      </c>
    </row>
    <row r="282" customFormat="false" ht="15" hidden="false" customHeight="true" outlineLevel="0" collapsed="false">
      <c r="A282" s="24"/>
      <c r="B282" s="2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27" t="str">
        <f aca="false">IF($A282="","",SUM($C282:$Z282))</f>
        <v/>
      </c>
    </row>
    <row r="283" customFormat="false" ht="15" hidden="false" customHeight="true" outlineLevel="0" collapsed="false">
      <c r="A283" s="28"/>
      <c r="B283" s="29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27" t="str">
        <f aca="false">IF($A283="","",SUM($C283:$Z283))</f>
        <v/>
      </c>
    </row>
    <row r="284" customFormat="false" ht="15" hidden="false" customHeight="true" outlineLevel="0" collapsed="false">
      <c r="A284" s="24"/>
      <c r="B284" s="2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27" t="str">
        <f aca="false">IF($A284="","",SUM($C284:$Z284))</f>
        <v/>
      </c>
    </row>
    <row r="285" customFormat="false" ht="15" hidden="false" customHeight="true" outlineLevel="0" collapsed="false">
      <c r="A285" s="28"/>
      <c r="B285" s="29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27" t="str">
        <f aca="false">IF($A285="","",SUM($C285:$Z285))</f>
        <v/>
      </c>
    </row>
    <row r="286" customFormat="false" ht="15" hidden="false" customHeight="true" outlineLevel="0" collapsed="false">
      <c r="A286" s="24"/>
      <c r="B286" s="2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27" t="str">
        <f aca="false">IF($A286="","",SUM($C286:$Z286))</f>
        <v/>
      </c>
    </row>
    <row r="287" customFormat="false" ht="15" hidden="false" customHeight="true" outlineLevel="0" collapsed="false">
      <c r="A287" s="28"/>
      <c r="B287" s="29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27" t="str">
        <f aca="false">IF($A287="","",SUM($C287:$Z287))</f>
        <v/>
      </c>
    </row>
    <row r="288" customFormat="false" ht="15" hidden="false" customHeight="true" outlineLevel="0" collapsed="false">
      <c r="A288" s="24"/>
      <c r="B288" s="2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27" t="str">
        <f aca="false">IF($A288="","",SUM($C288:$Z288))</f>
        <v/>
      </c>
    </row>
    <row r="289" customFormat="false" ht="15" hidden="false" customHeight="true" outlineLevel="0" collapsed="false">
      <c r="A289" s="28"/>
      <c r="B289" s="29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27" t="str">
        <f aca="false">IF($A289="","",SUM($C289:$Z289))</f>
        <v/>
      </c>
    </row>
    <row r="290" customFormat="false" ht="15" hidden="false" customHeight="true" outlineLevel="0" collapsed="false">
      <c r="A290" s="24"/>
      <c r="B290" s="2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27" t="str">
        <f aca="false">IF($A290="","",SUM($C290:$Z290))</f>
        <v/>
      </c>
    </row>
    <row r="291" customFormat="false" ht="15" hidden="false" customHeight="true" outlineLevel="0" collapsed="false">
      <c r="A291" s="28"/>
      <c r="B291" s="29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27" t="str">
        <f aca="false">IF($A291="","",SUM($C291:$Z291))</f>
        <v/>
      </c>
    </row>
    <row r="292" customFormat="false" ht="15" hidden="false" customHeight="true" outlineLevel="0" collapsed="false">
      <c r="A292" s="24"/>
      <c r="B292" s="2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27" t="str">
        <f aca="false">IF($A292="","",SUM($C292:$Z292))</f>
        <v/>
      </c>
    </row>
    <row r="293" customFormat="false" ht="15" hidden="false" customHeight="true" outlineLevel="0" collapsed="false">
      <c r="A293" s="28"/>
      <c r="B293" s="29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27" t="str">
        <f aca="false">IF($A293="","",SUM($C293:$Z293))</f>
        <v/>
      </c>
    </row>
    <row r="294" customFormat="false" ht="15" hidden="false" customHeight="true" outlineLevel="0" collapsed="false">
      <c r="A294" s="24"/>
      <c r="B294" s="2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27" t="str">
        <f aca="false">IF($A294="","",SUM($C294:$Z294))</f>
        <v/>
      </c>
    </row>
    <row r="295" customFormat="false" ht="15" hidden="false" customHeight="true" outlineLevel="0" collapsed="false">
      <c r="A295" s="28"/>
      <c r="B295" s="29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27" t="str">
        <f aca="false">IF($A295="","",SUM($C295:$Z295))</f>
        <v/>
      </c>
    </row>
    <row r="296" customFormat="false" ht="15" hidden="false" customHeight="true" outlineLevel="0" collapsed="false">
      <c r="A296" s="24"/>
      <c r="B296" s="2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27" t="str">
        <f aca="false">IF($A296="","",SUM($C296:$Z296))</f>
        <v/>
      </c>
    </row>
    <row r="297" customFormat="false" ht="15" hidden="false" customHeight="true" outlineLevel="0" collapsed="false">
      <c r="A297" s="28"/>
      <c r="B297" s="29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27" t="str">
        <f aca="false">IF($A297="","",SUM($C297:$Z297))</f>
        <v/>
      </c>
    </row>
    <row r="298" customFormat="false" ht="15" hidden="false" customHeight="true" outlineLevel="0" collapsed="false">
      <c r="A298" s="24"/>
      <c r="B298" s="2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27" t="str">
        <f aca="false">IF($A298="","",SUM($C298:$Z298))</f>
        <v/>
      </c>
    </row>
    <row r="299" customFormat="false" ht="15" hidden="false" customHeight="true" outlineLevel="0" collapsed="false">
      <c r="A299" s="28"/>
      <c r="B299" s="29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27" t="str">
        <f aca="false">IF($A299="","",SUM($C299:$Z299))</f>
        <v/>
      </c>
    </row>
    <row r="300" customFormat="false" ht="15" hidden="false" customHeight="true" outlineLevel="0" collapsed="false">
      <c r="A300" s="24"/>
      <c r="B300" s="2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27" t="str">
        <f aca="false">IF($A300="","",SUM($C300:$Z300))</f>
        <v/>
      </c>
    </row>
    <row r="301" customFormat="false" ht="15" hidden="false" customHeight="true" outlineLevel="0" collapsed="false">
      <c r="A301" s="28"/>
      <c r="B301" s="29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27" t="str">
        <f aca="false">IF($A301="","",SUM($C301:$Z301))</f>
        <v/>
      </c>
    </row>
    <row r="302" customFormat="false" ht="15" hidden="false" customHeight="true" outlineLevel="0" collapsed="false">
      <c r="A302" s="24"/>
      <c r="B302" s="2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27" t="str">
        <f aca="false">IF($A302="","",SUM($C302:$Z302))</f>
        <v/>
      </c>
    </row>
  </sheetData>
  <mergeCells count="1">
    <mergeCell ref="A1:AA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I9" activeCellId="0" sqref="I9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0"/>
    <col collapsed="false" customWidth="true" hidden="false" outlineLevel="0" max="3" min="3" style="1" width="9"/>
    <col collapsed="false" customWidth="true" hidden="false" outlineLevel="0" max="4" min="4" style="1" width="36"/>
  </cols>
  <sheetData>
    <row r="1" customFormat="false" ht="30" hidden="false" customHeight="true" outlineLevel="0" collapsed="false">
      <c r="A1" s="20" t="s">
        <v>59</v>
      </c>
      <c r="B1" s="20"/>
      <c r="C1" s="20"/>
      <c r="D1" s="20"/>
    </row>
    <row r="2" customFormat="false" ht="24" hidden="false" customHeight="true" outlineLevel="0" collapsed="false">
      <c r="A2" s="5" t="s">
        <v>55</v>
      </c>
      <c r="B2" s="5" t="s">
        <v>1</v>
      </c>
      <c r="C2" s="5" t="s">
        <v>60</v>
      </c>
      <c r="D2" s="5" t="s">
        <v>61</v>
      </c>
    </row>
    <row r="3" customFormat="false" ht="15" hidden="false" customHeight="true" outlineLevel="0" collapsed="false">
      <c r="A3" s="29"/>
      <c r="B3" s="28"/>
      <c r="C3" s="12"/>
      <c r="D3" s="28"/>
    </row>
    <row r="4" customFormat="false" ht="15" hidden="false" customHeight="true" outlineLevel="0" collapsed="false">
      <c r="A4" s="25"/>
      <c r="B4" s="24"/>
      <c r="C4" s="9"/>
      <c r="D4" s="24"/>
    </row>
    <row r="5" customFormat="false" ht="15" hidden="false" customHeight="true" outlineLevel="0" collapsed="false">
      <c r="A5" s="29"/>
      <c r="B5" s="28"/>
      <c r="C5" s="12"/>
      <c r="D5" s="28"/>
    </row>
    <row r="6" customFormat="false" ht="15" hidden="false" customHeight="true" outlineLevel="0" collapsed="false">
      <c r="A6" s="25"/>
      <c r="B6" s="24"/>
      <c r="C6" s="9"/>
      <c r="D6" s="24"/>
    </row>
    <row r="7" customFormat="false" ht="15" hidden="false" customHeight="true" outlineLevel="0" collapsed="false">
      <c r="A7" s="29"/>
      <c r="B7" s="28"/>
      <c r="C7" s="12"/>
      <c r="D7" s="28"/>
    </row>
    <row r="8" customFormat="false" ht="15" hidden="false" customHeight="true" outlineLevel="0" collapsed="false">
      <c r="A8" s="25"/>
      <c r="B8" s="24"/>
      <c r="C8" s="9"/>
      <c r="D8" s="24"/>
    </row>
    <row r="9" customFormat="false" ht="15" hidden="false" customHeight="true" outlineLevel="0" collapsed="false">
      <c r="A9" s="29"/>
      <c r="B9" s="28"/>
      <c r="C9" s="12"/>
      <c r="D9" s="28"/>
    </row>
    <row r="10" customFormat="false" ht="15" hidden="false" customHeight="true" outlineLevel="0" collapsed="false">
      <c r="A10" s="25"/>
      <c r="B10" s="24"/>
      <c r="C10" s="9"/>
      <c r="D10" s="24"/>
    </row>
    <row r="11" customFormat="false" ht="15" hidden="false" customHeight="true" outlineLevel="0" collapsed="false">
      <c r="A11" s="29"/>
      <c r="B11" s="28"/>
      <c r="C11" s="12"/>
      <c r="D11" s="28"/>
    </row>
    <row r="12" customFormat="false" ht="15" hidden="false" customHeight="true" outlineLevel="0" collapsed="false">
      <c r="A12" s="25"/>
      <c r="B12" s="24"/>
      <c r="C12" s="9"/>
      <c r="D12" s="24"/>
    </row>
    <row r="13" customFormat="false" ht="15" hidden="false" customHeight="true" outlineLevel="0" collapsed="false">
      <c r="A13" s="29"/>
      <c r="B13" s="28"/>
      <c r="C13" s="12"/>
      <c r="D13" s="28"/>
    </row>
    <row r="14" customFormat="false" ht="15" hidden="false" customHeight="true" outlineLevel="0" collapsed="false">
      <c r="A14" s="25"/>
      <c r="B14" s="24"/>
      <c r="C14" s="9"/>
      <c r="D14" s="24"/>
    </row>
    <row r="15" customFormat="false" ht="15" hidden="false" customHeight="true" outlineLevel="0" collapsed="false">
      <c r="A15" s="29"/>
      <c r="B15" s="28"/>
      <c r="C15" s="12"/>
      <c r="D15" s="28"/>
    </row>
    <row r="16" customFormat="false" ht="15" hidden="false" customHeight="true" outlineLevel="0" collapsed="false">
      <c r="A16" s="25"/>
      <c r="B16" s="24"/>
      <c r="C16" s="9"/>
      <c r="D16" s="24"/>
    </row>
    <row r="17" customFormat="false" ht="15" hidden="false" customHeight="true" outlineLevel="0" collapsed="false">
      <c r="A17" s="29"/>
      <c r="B17" s="28"/>
      <c r="C17" s="12"/>
      <c r="D17" s="28"/>
    </row>
    <row r="18" customFormat="false" ht="15" hidden="false" customHeight="true" outlineLevel="0" collapsed="false">
      <c r="A18" s="25"/>
      <c r="B18" s="24"/>
      <c r="C18" s="9"/>
      <c r="D18" s="24"/>
    </row>
    <row r="19" customFormat="false" ht="15" hidden="false" customHeight="true" outlineLevel="0" collapsed="false">
      <c r="A19" s="29"/>
      <c r="B19" s="28"/>
      <c r="C19" s="12"/>
      <c r="D19" s="28"/>
    </row>
    <row r="20" customFormat="false" ht="15" hidden="false" customHeight="true" outlineLevel="0" collapsed="false">
      <c r="A20" s="25"/>
      <c r="B20" s="24"/>
      <c r="C20" s="9"/>
      <c r="D20" s="24"/>
    </row>
    <row r="21" customFormat="false" ht="15" hidden="false" customHeight="true" outlineLevel="0" collapsed="false">
      <c r="A21" s="29"/>
      <c r="B21" s="28"/>
      <c r="C21" s="12"/>
      <c r="D21" s="28"/>
    </row>
    <row r="22" customFormat="false" ht="15" hidden="false" customHeight="true" outlineLevel="0" collapsed="false">
      <c r="A22" s="25"/>
      <c r="B22" s="24"/>
      <c r="C22" s="9"/>
      <c r="D22" s="24"/>
    </row>
    <row r="23" customFormat="false" ht="15" hidden="false" customHeight="true" outlineLevel="0" collapsed="false">
      <c r="A23" s="29"/>
      <c r="B23" s="28"/>
      <c r="C23" s="12"/>
      <c r="D23" s="28"/>
    </row>
    <row r="24" customFormat="false" ht="15" hidden="false" customHeight="true" outlineLevel="0" collapsed="false">
      <c r="A24" s="25"/>
      <c r="B24" s="24"/>
      <c r="C24" s="9"/>
      <c r="D24" s="24"/>
    </row>
    <row r="25" customFormat="false" ht="15" hidden="false" customHeight="true" outlineLevel="0" collapsed="false">
      <c r="A25" s="29"/>
      <c r="B25" s="28"/>
      <c r="C25" s="12"/>
      <c r="D25" s="28"/>
    </row>
    <row r="26" customFormat="false" ht="15" hidden="false" customHeight="true" outlineLevel="0" collapsed="false">
      <c r="A26" s="25"/>
      <c r="B26" s="24"/>
      <c r="C26" s="9"/>
      <c r="D26" s="24"/>
    </row>
    <row r="27" customFormat="false" ht="15" hidden="false" customHeight="true" outlineLevel="0" collapsed="false">
      <c r="A27" s="29"/>
      <c r="B27" s="28"/>
      <c r="C27" s="12"/>
      <c r="D27" s="28"/>
    </row>
    <row r="28" customFormat="false" ht="15" hidden="false" customHeight="true" outlineLevel="0" collapsed="false">
      <c r="A28" s="25"/>
      <c r="B28" s="24"/>
      <c r="C28" s="9"/>
      <c r="D28" s="24"/>
    </row>
    <row r="29" customFormat="false" ht="15" hidden="false" customHeight="true" outlineLevel="0" collapsed="false">
      <c r="A29" s="29"/>
      <c r="B29" s="28"/>
      <c r="C29" s="12"/>
      <c r="D29" s="28"/>
    </row>
    <row r="30" customFormat="false" ht="15" hidden="false" customHeight="true" outlineLevel="0" collapsed="false">
      <c r="A30" s="25"/>
      <c r="B30" s="24"/>
      <c r="C30" s="9"/>
      <c r="D30" s="24"/>
    </row>
    <row r="31" customFormat="false" ht="15" hidden="false" customHeight="true" outlineLevel="0" collapsed="false">
      <c r="A31" s="29"/>
      <c r="B31" s="28"/>
      <c r="C31" s="12"/>
      <c r="D31" s="28"/>
    </row>
    <row r="32" customFormat="false" ht="15" hidden="false" customHeight="true" outlineLevel="0" collapsed="false">
      <c r="A32" s="25"/>
      <c r="B32" s="24"/>
      <c r="C32" s="9"/>
      <c r="D32" s="24"/>
    </row>
    <row r="33" customFormat="false" ht="15" hidden="false" customHeight="true" outlineLevel="0" collapsed="false">
      <c r="A33" s="29"/>
      <c r="B33" s="28"/>
      <c r="C33" s="12"/>
      <c r="D33" s="28"/>
    </row>
    <row r="34" customFormat="false" ht="15" hidden="false" customHeight="true" outlineLevel="0" collapsed="false">
      <c r="A34" s="25"/>
      <c r="B34" s="24"/>
      <c r="C34" s="9"/>
      <c r="D34" s="24"/>
    </row>
    <row r="35" customFormat="false" ht="15" hidden="false" customHeight="true" outlineLevel="0" collapsed="false">
      <c r="A35" s="29"/>
      <c r="B35" s="28"/>
      <c r="C35" s="12"/>
      <c r="D35" s="28"/>
    </row>
    <row r="36" customFormat="false" ht="15" hidden="false" customHeight="true" outlineLevel="0" collapsed="false">
      <c r="A36" s="25"/>
      <c r="B36" s="24"/>
      <c r="C36" s="9"/>
      <c r="D36" s="24"/>
    </row>
    <row r="37" customFormat="false" ht="15" hidden="false" customHeight="true" outlineLevel="0" collapsed="false">
      <c r="A37" s="29"/>
      <c r="B37" s="28"/>
      <c r="C37" s="12"/>
      <c r="D37" s="28"/>
    </row>
    <row r="38" customFormat="false" ht="15" hidden="false" customHeight="true" outlineLevel="0" collapsed="false">
      <c r="A38" s="25"/>
      <c r="B38" s="24"/>
      <c r="C38" s="9"/>
      <c r="D38" s="24"/>
    </row>
    <row r="39" customFormat="false" ht="15" hidden="false" customHeight="true" outlineLevel="0" collapsed="false">
      <c r="A39" s="29"/>
      <c r="B39" s="28"/>
      <c r="C39" s="12"/>
      <c r="D39" s="28"/>
    </row>
    <row r="40" customFormat="false" ht="15" hidden="false" customHeight="true" outlineLevel="0" collapsed="false">
      <c r="A40" s="25"/>
      <c r="B40" s="24"/>
      <c r="C40" s="9"/>
      <c r="D40" s="24"/>
    </row>
    <row r="41" customFormat="false" ht="15" hidden="false" customHeight="true" outlineLevel="0" collapsed="false">
      <c r="A41" s="29"/>
      <c r="B41" s="28"/>
      <c r="C41" s="12"/>
      <c r="D41" s="28"/>
    </row>
    <row r="42" customFormat="false" ht="15" hidden="false" customHeight="true" outlineLevel="0" collapsed="false">
      <c r="A42" s="25"/>
      <c r="B42" s="24"/>
      <c r="C42" s="9"/>
      <c r="D42" s="24"/>
    </row>
    <row r="43" customFormat="false" ht="15" hidden="false" customHeight="true" outlineLevel="0" collapsed="false">
      <c r="A43" s="29"/>
      <c r="B43" s="28"/>
      <c r="C43" s="12"/>
      <c r="D43" s="28"/>
    </row>
    <row r="44" customFormat="false" ht="15" hidden="false" customHeight="true" outlineLevel="0" collapsed="false">
      <c r="A44" s="25"/>
      <c r="B44" s="24"/>
      <c r="C44" s="9"/>
      <c r="D44" s="24"/>
    </row>
    <row r="45" customFormat="false" ht="15" hidden="false" customHeight="true" outlineLevel="0" collapsed="false">
      <c r="A45" s="29"/>
      <c r="B45" s="28"/>
      <c r="C45" s="12"/>
      <c r="D45" s="28"/>
    </row>
    <row r="46" customFormat="false" ht="15" hidden="false" customHeight="true" outlineLevel="0" collapsed="false">
      <c r="A46" s="25"/>
      <c r="B46" s="24"/>
      <c r="C46" s="9"/>
      <c r="D46" s="24"/>
    </row>
    <row r="47" customFormat="false" ht="15" hidden="false" customHeight="true" outlineLevel="0" collapsed="false">
      <c r="A47" s="29"/>
      <c r="B47" s="28"/>
      <c r="C47" s="12"/>
      <c r="D47" s="28"/>
    </row>
    <row r="48" customFormat="false" ht="15" hidden="false" customHeight="true" outlineLevel="0" collapsed="false">
      <c r="A48" s="25"/>
      <c r="B48" s="24"/>
      <c r="C48" s="9"/>
      <c r="D48" s="24"/>
    </row>
    <row r="49" customFormat="false" ht="15" hidden="false" customHeight="true" outlineLevel="0" collapsed="false">
      <c r="A49" s="29"/>
      <c r="B49" s="28"/>
      <c r="C49" s="12"/>
      <c r="D49" s="28"/>
    </row>
    <row r="50" customFormat="false" ht="15" hidden="false" customHeight="true" outlineLevel="0" collapsed="false">
      <c r="A50" s="25"/>
      <c r="B50" s="24"/>
      <c r="C50" s="9"/>
      <c r="D50" s="24"/>
    </row>
    <row r="51" customFormat="false" ht="15" hidden="false" customHeight="true" outlineLevel="0" collapsed="false">
      <c r="A51" s="29"/>
      <c r="B51" s="28"/>
      <c r="C51" s="12"/>
      <c r="D51" s="28"/>
    </row>
    <row r="52" customFormat="false" ht="15" hidden="false" customHeight="true" outlineLevel="0" collapsed="false">
      <c r="A52" s="25"/>
      <c r="B52" s="24"/>
      <c r="C52" s="9"/>
      <c r="D52" s="24"/>
    </row>
    <row r="53" customFormat="false" ht="15" hidden="false" customHeight="true" outlineLevel="0" collapsed="false">
      <c r="A53" s="29"/>
      <c r="B53" s="28"/>
      <c r="C53" s="12"/>
      <c r="D53" s="28"/>
    </row>
    <row r="54" customFormat="false" ht="15" hidden="false" customHeight="true" outlineLevel="0" collapsed="false">
      <c r="A54" s="25"/>
      <c r="B54" s="24"/>
      <c r="C54" s="9"/>
      <c r="D54" s="24"/>
    </row>
    <row r="55" customFormat="false" ht="15" hidden="false" customHeight="true" outlineLevel="0" collapsed="false">
      <c r="A55" s="29"/>
      <c r="B55" s="28"/>
      <c r="C55" s="12"/>
      <c r="D55" s="28"/>
    </row>
    <row r="56" customFormat="false" ht="15" hidden="false" customHeight="true" outlineLevel="0" collapsed="false">
      <c r="A56" s="25"/>
      <c r="B56" s="24"/>
      <c r="C56" s="9"/>
      <c r="D56" s="24"/>
    </row>
    <row r="57" customFormat="false" ht="15" hidden="false" customHeight="true" outlineLevel="0" collapsed="false">
      <c r="A57" s="29"/>
      <c r="B57" s="28"/>
      <c r="C57" s="12"/>
      <c r="D57" s="28"/>
    </row>
    <row r="58" customFormat="false" ht="15" hidden="false" customHeight="true" outlineLevel="0" collapsed="false">
      <c r="A58" s="25"/>
      <c r="B58" s="24"/>
      <c r="C58" s="9"/>
      <c r="D58" s="24"/>
    </row>
    <row r="59" customFormat="false" ht="15" hidden="false" customHeight="true" outlineLevel="0" collapsed="false">
      <c r="A59" s="29"/>
      <c r="B59" s="28"/>
      <c r="C59" s="12"/>
      <c r="D59" s="28"/>
    </row>
    <row r="60" customFormat="false" ht="15" hidden="false" customHeight="true" outlineLevel="0" collapsed="false">
      <c r="A60" s="25"/>
      <c r="B60" s="24"/>
      <c r="C60" s="9"/>
      <c r="D60" s="24"/>
    </row>
    <row r="61" customFormat="false" ht="15" hidden="false" customHeight="true" outlineLevel="0" collapsed="false">
      <c r="A61" s="29"/>
      <c r="B61" s="28"/>
      <c r="C61" s="12"/>
      <c r="D61" s="28"/>
    </row>
    <row r="62" customFormat="false" ht="15" hidden="false" customHeight="true" outlineLevel="0" collapsed="false">
      <c r="A62" s="25"/>
      <c r="B62" s="24"/>
      <c r="C62" s="9"/>
      <c r="D62" s="24"/>
    </row>
    <row r="63" customFormat="false" ht="15" hidden="false" customHeight="true" outlineLevel="0" collapsed="false">
      <c r="A63" s="29"/>
      <c r="B63" s="28"/>
      <c r="C63" s="12"/>
      <c r="D63" s="28"/>
    </row>
    <row r="64" customFormat="false" ht="15" hidden="false" customHeight="true" outlineLevel="0" collapsed="false">
      <c r="A64" s="25"/>
      <c r="B64" s="24"/>
      <c r="C64" s="9"/>
      <c r="D64" s="24"/>
    </row>
    <row r="65" customFormat="false" ht="15" hidden="false" customHeight="true" outlineLevel="0" collapsed="false">
      <c r="A65" s="29"/>
      <c r="B65" s="28"/>
      <c r="C65" s="12"/>
      <c r="D65" s="28"/>
    </row>
    <row r="66" customFormat="false" ht="15" hidden="false" customHeight="true" outlineLevel="0" collapsed="false">
      <c r="A66" s="25"/>
      <c r="B66" s="24"/>
      <c r="C66" s="9"/>
      <c r="D66" s="24"/>
    </row>
    <row r="67" customFormat="false" ht="15" hidden="false" customHeight="true" outlineLevel="0" collapsed="false">
      <c r="A67" s="29"/>
      <c r="B67" s="28"/>
      <c r="C67" s="12"/>
      <c r="D67" s="28"/>
    </row>
    <row r="68" customFormat="false" ht="15" hidden="false" customHeight="true" outlineLevel="0" collapsed="false">
      <c r="A68" s="25"/>
      <c r="B68" s="24"/>
      <c r="C68" s="9"/>
      <c r="D68" s="24"/>
    </row>
    <row r="69" customFormat="false" ht="15" hidden="false" customHeight="true" outlineLevel="0" collapsed="false">
      <c r="A69" s="29"/>
      <c r="B69" s="28"/>
      <c r="C69" s="12"/>
      <c r="D69" s="28"/>
    </row>
    <row r="70" customFormat="false" ht="15" hidden="false" customHeight="true" outlineLevel="0" collapsed="false">
      <c r="A70" s="25"/>
      <c r="B70" s="24"/>
      <c r="C70" s="9"/>
      <c r="D70" s="24"/>
    </row>
    <row r="71" customFormat="false" ht="15" hidden="false" customHeight="true" outlineLevel="0" collapsed="false">
      <c r="A71" s="29"/>
      <c r="B71" s="28"/>
      <c r="C71" s="12"/>
      <c r="D71" s="28"/>
    </row>
    <row r="72" customFormat="false" ht="15" hidden="false" customHeight="true" outlineLevel="0" collapsed="false">
      <c r="A72" s="25"/>
      <c r="B72" s="24"/>
      <c r="C72" s="9"/>
      <c r="D72" s="24"/>
    </row>
    <row r="73" customFormat="false" ht="15" hidden="false" customHeight="true" outlineLevel="0" collapsed="false">
      <c r="A73" s="29"/>
      <c r="B73" s="28"/>
      <c r="C73" s="12"/>
      <c r="D73" s="28"/>
    </row>
    <row r="74" customFormat="false" ht="15" hidden="false" customHeight="true" outlineLevel="0" collapsed="false">
      <c r="A74" s="25"/>
      <c r="B74" s="24"/>
      <c r="C74" s="9"/>
      <c r="D74" s="24"/>
    </row>
    <row r="75" customFormat="false" ht="15" hidden="false" customHeight="true" outlineLevel="0" collapsed="false">
      <c r="A75" s="29"/>
      <c r="B75" s="28"/>
      <c r="C75" s="12"/>
      <c r="D75" s="28"/>
    </row>
    <row r="76" customFormat="false" ht="15" hidden="false" customHeight="true" outlineLevel="0" collapsed="false">
      <c r="A76" s="25"/>
      <c r="B76" s="24"/>
      <c r="C76" s="9"/>
      <c r="D76" s="24"/>
    </row>
    <row r="77" customFormat="false" ht="15" hidden="false" customHeight="true" outlineLevel="0" collapsed="false">
      <c r="A77" s="29"/>
      <c r="B77" s="28"/>
      <c r="C77" s="12"/>
      <c r="D77" s="28"/>
    </row>
    <row r="78" customFormat="false" ht="15" hidden="false" customHeight="true" outlineLevel="0" collapsed="false">
      <c r="A78" s="25"/>
      <c r="B78" s="24"/>
      <c r="C78" s="9"/>
      <c r="D78" s="24"/>
    </row>
    <row r="79" customFormat="false" ht="15" hidden="false" customHeight="true" outlineLevel="0" collapsed="false">
      <c r="A79" s="29"/>
      <c r="B79" s="28"/>
      <c r="C79" s="12"/>
      <c r="D79" s="28"/>
    </row>
    <row r="80" customFormat="false" ht="15" hidden="false" customHeight="true" outlineLevel="0" collapsed="false">
      <c r="A80" s="25"/>
      <c r="B80" s="24"/>
      <c r="C80" s="9"/>
      <c r="D80" s="24"/>
    </row>
    <row r="81" customFormat="false" ht="15" hidden="false" customHeight="true" outlineLevel="0" collapsed="false">
      <c r="A81" s="29"/>
      <c r="B81" s="28"/>
      <c r="C81" s="12"/>
      <c r="D81" s="28"/>
    </row>
    <row r="82" customFormat="false" ht="15" hidden="false" customHeight="true" outlineLevel="0" collapsed="false">
      <c r="A82" s="25"/>
      <c r="B82" s="24"/>
      <c r="C82" s="9"/>
      <c r="D82" s="24"/>
    </row>
    <row r="83" customFormat="false" ht="15" hidden="false" customHeight="true" outlineLevel="0" collapsed="false">
      <c r="A83" s="29"/>
      <c r="B83" s="28"/>
      <c r="C83" s="12"/>
      <c r="D83" s="28"/>
    </row>
    <row r="84" customFormat="false" ht="15" hidden="false" customHeight="true" outlineLevel="0" collapsed="false">
      <c r="A84" s="25"/>
      <c r="B84" s="24"/>
      <c r="C84" s="9"/>
      <c r="D84" s="24"/>
    </row>
    <row r="85" customFormat="false" ht="15" hidden="false" customHeight="true" outlineLevel="0" collapsed="false">
      <c r="A85" s="29"/>
      <c r="B85" s="28"/>
      <c r="C85" s="12"/>
      <c r="D85" s="28"/>
    </row>
    <row r="86" customFormat="false" ht="15" hidden="false" customHeight="true" outlineLevel="0" collapsed="false">
      <c r="A86" s="25"/>
      <c r="B86" s="24"/>
      <c r="C86" s="9"/>
      <c r="D86" s="24"/>
    </row>
    <row r="87" customFormat="false" ht="15" hidden="false" customHeight="true" outlineLevel="0" collapsed="false">
      <c r="A87" s="29"/>
      <c r="B87" s="28"/>
      <c r="C87" s="12"/>
      <c r="D87" s="28"/>
    </row>
    <row r="88" customFormat="false" ht="15" hidden="false" customHeight="true" outlineLevel="0" collapsed="false">
      <c r="A88" s="25"/>
      <c r="B88" s="24"/>
      <c r="C88" s="9"/>
      <c r="D88" s="24"/>
    </row>
    <row r="89" customFormat="false" ht="15" hidden="false" customHeight="true" outlineLevel="0" collapsed="false">
      <c r="A89" s="29"/>
      <c r="B89" s="28"/>
      <c r="C89" s="12"/>
      <c r="D89" s="28"/>
    </row>
    <row r="90" customFormat="false" ht="15" hidden="false" customHeight="true" outlineLevel="0" collapsed="false">
      <c r="A90" s="25"/>
      <c r="B90" s="24"/>
      <c r="C90" s="9"/>
      <c r="D90" s="24"/>
    </row>
    <row r="91" customFormat="false" ht="15" hidden="false" customHeight="true" outlineLevel="0" collapsed="false">
      <c r="A91" s="29"/>
      <c r="B91" s="28"/>
      <c r="C91" s="12"/>
      <c r="D91" s="28"/>
    </row>
    <row r="92" customFormat="false" ht="15" hidden="false" customHeight="true" outlineLevel="0" collapsed="false">
      <c r="A92" s="25"/>
      <c r="B92" s="24"/>
      <c r="C92" s="9"/>
      <c r="D92" s="24"/>
    </row>
    <row r="93" customFormat="false" ht="15" hidden="false" customHeight="true" outlineLevel="0" collapsed="false">
      <c r="A93" s="29"/>
      <c r="B93" s="28"/>
      <c r="C93" s="12"/>
      <c r="D93" s="28"/>
    </row>
    <row r="94" customFormat="false" ht="15" hidden="false" customHeight="true" outlineLevel="0" collapsed="false">
      <c r="A94" s="25"/>
      <c r="B94" s="24"/>
      <c r="C94" s="9"/>
      <c r="D94" s="24"/>
    </row>
    <row r="95" customFormat="false" ht="15" hidden="false" customHeight="true" outlineLevel="0" collapsed="false">
      <c r="A95" s="29"/>
      <c r="B95" s="28"/>
      <c r="C95" s="12"/>
      <c r="D95" s="28"/>
    </row>
    <row r="96" customFormat="false" ht="15" hidden="false" customHeight="true" outlineLevel="0" collapsed="false">
      <c r="A96" s="25"/>
      <c r="B96" s="24"/>
      <c r="C96" s="9"/>
      <c r="D96" s="24"/>
    </row>
    <row r="97" customFormat="false" ht="15" hidden="false" customHeight="true" outlineLevel="0" collapsed="false">
      <c r="A97" s="29"/>
      <c r="B97" s="28"/>
      <c r="C97" s="12"/>
      <c r="D97" s="28"/>
    </row>
    <row r="98" customFormat="false" ht="15" hidden="false" customHeight="true" outlineLevel="0" collapsed="false">
      <c r="A98" s="25"/>
      <c r="B98" s="24"/>
      <c r="C98" s="9"/>
      <c r="D98" s="24"/>
    </row>
    <row r="99" customFormat="false" ht="15" hidden="false" customHeight="true" outlineLevel="0" collapsed="false">
      <c r="A99" s="29"/>
      <c r="B99" s="28"/>
      <c r="C99" s="12"/>
      <c r="D99" s="28"/>
    </row>
    <row r="100" customFormat="false" ht="15" hidden="false" customHeight="true" outlineLevel="0" collapsed="false">
      <c r="A100" s="25"/>
      <c r="B100" s="24"/>
      <c r="C100" s="9"/>
      <c r="D100" s="24"/>
    </row>
    <row r="101" customFormat="false" ht="15" hidden="false" customHeight="true" outlineLevel="0" collapsed="false">
      <c r="A101" s="29"/>
      <c r="B101" s="28"/>
      <c r="C101" s="12"/>
      <c r="D101" s="28"/>
    </row>
    <row r="102" customFormat="false" ht="15" hidden="false" customHeight="true" outlineLevel="0" collapsed="false">
      <c r="A102" s="25"/>
      <c r="B102" s="24"/>
      <c r="C102" s="9"/>
      <c r="D102" s="24"/>
    </row>
    <row r="103" customFormat="false" ht="15" hidden="false" customHeight="true" outlineLevel="0" collapsed="false">
      <c r="A103" s="29"/>
      <c r="B103" s="28"/>
      <c r="C103" s="12"/>
      <c r="D103" s="28"/>
    </row>
    <row r="104" customFormat="false" ht="15" hidden="false" customHeight="true" outlineLevel="0" collapsed="false">
      <c r="A104" s="25"/>
      <c r="B104" s="24"/>
      <c r="C104" s="9"/>
      <c r="D104" s="24"/>
    </row>
    <row r="105" customFormat="false" ht="15" hidden="false" customHeight="true" outlineLevel="0" collapsed="false">
      <c r="A105" s="29"/>
      <c r="B105" s="28"/>
      <c r="C105" s="12"/>
      <c r="D105" s="28"/>
    </row>
    <row r="106" customFormat="false" ht="15" hidden="false" customHeight="true" outlineLevel="0" collapsed="false">
      <c r="A106" s="25"/>
      <c r="B106" s="24"/>
      <c r="C106" s="9"/>
      <c r="D106" s="24"/>
    </row>
    <row r="107" customFormat="false" ht="15" hidden="false" customHeight="true" outlineLevel="0" collapsed="false">
      <c r="A107" s="29"/>
      <c r="B107" s="28"/>
      <c r="C107" s="12"/>
      <c r="D107" s="28"/>
    </row>
    <row r="108" customFormat="false" ht="15" hidden="false" customHeight="true" outlineLevel="0" collapsed="false">
      <c r="A108" s="25"/>
      <c r="B108" s="24"/>
      <c r="C108" s="9"/>
      <c r="D108" s="24"/>
    </row>
    <row r="109" customFormat="false" ht="15" hidden="false" customHeight="true" outlineLevel="0" collapsed="false">
      <c r="A109" s="29"/>
      <c r="B109" s="28"/>
      <c r="C109" s="12"/>
      <c r="D109" s="28"/>
    </row>
    <row r="110" customFormat="false" ht="15" hidden="false" customHeight="true" outlineLevel="0" collapsed="false">
      <c r="A110" s="25"/>
      <c r="B110" s="24"/>
      <c r="C110" s="9"/>
      <c r="D110" s="24"/>
    </row>
    <row r="111" customFormat="false" ht="15" hidden="false" customHeight="true" outlineLevel="0" collapsed="false">
      <c r="A111" s="29"/>
      <c r="B111" s="28"/>
      <c r="C111" s="12"/>
      <c r="D111" s="28"/>
    </row>
    <row r="112" customFormat="false" ht="15" hidden="false" customHeight="true" outlineLevel="0" collapsed="false">
      <c r="A112" s="25"/>
      <c r="B112" s="24"/>
      <c r="C112" s="9"/>
      <c r="D112" s="24"/>
    </row>
    <row r="113" customFormat="false" ht="15" hidden="false" customHeight="true" outlineLevel="0" collapsed="false">
      <c r="A113" s="29"/>
      <c r="B113" s="28"/>
      <c r="C113" s="12"/>
      <c r="D113" s="28"/>
    </row>
    <row r="114" customFormat="false" ht="15" hidden="false" customHeight="true" outlineLevel="0" collapsed="false">
      <c r="A114" s="25"/>
      <c r="B114" s="24"/>
      <c r="C114" s="9"/>
      <c r="D114" s="24"/>
    </row>
    <row r="115" customFormat="false" ht="15" hidden="false" customHeight="true" outlineLevel="0" collapsed="false">
      <c r="A115" s="29"/>
      <c r="B115" s="28"/>
      <c r="C115" s="12"/>
      <c r="D115" s="28"/>
    </row>
    <row r="116" customFormat="false" ht="15" hidden="false" customHeight="true" outlineLevel="0" collapsed="false">
      <c r="A116" s="25"/>
      <c r="B116" s="24"/>
      <c r="C116" s="9"/>
      <c r="D116" s="24"/>
    </row>
    <row r="117" customFormat="false" ht="15" hidden="false" customHeight="true" outlineLevel="0" collapsed="false">
      <c r="A117" s="29"/>
      <c r="B117" s="28"/>
      <c r="C117" s="12"/>
      <c r="D117" s="28"/>
    </row>
    <row r="118" customFormat="false" ht="15" hidden="false" customHeight="true" outlineLevel="0" collapsed="false">
      <c r="A118" s="25"/>
      <c r="B118" s="24"/>
      <c r="C118" s="9"/>
      <c r="D118" s="24"/>
    </row>
    <row r="119" customFormat="false" ht="15" hidden="false" customHeight="true" outlineLevel="0" collapsed="false">
      <c r="A119" s="29"/>
      <c r="B119" s="28"/>
      <c r="C119" s="12"/>
      <c r="D119" s="28"/>
    </row>
    <row r="120" customFormat="false" ht="15" hidden="false" customHeight="true" outlineLevel="0" collapsed="false">
      <c r="A120" s="25"/>
      <c r="B120" s="24"/>
      <c r="C120" s="9"/>
      <c r="D120" s="24"/>
    </row>
    <row r="121" customFormat="false" ht="15" hidden="false" customHeight="true" outlineLevel="0" collapsed="false">
      <c r="A121" s="29"/>
      <c r="B121" s="28"/>
      <c r="C121" s="12"/>
      <c r="D121" s="28"/>
    </row>
    <row r="122" customFormat="false" ht="15" hidden="false" customHeight="true" outlineLevel="0" collapsed="false">
      <c r="A122" s="25"/>
      <c r="B122" s="24"/>
      <c r="C122" s="9"/>
      <c r="D122" s="24"/>
    </row>
    <row r="123" customFormat="false" ht="15" hidden="false" customHeight="true" outlineLevel="0" collapsed="false">
      <c r="A123" s="29"/>
      <c r="B123" s="28"/>
      <c r="C123" s="12"/>
      <c r="D123" s="28"/>
    </row>
    <row r="124" customFormat="false" ht="15" hidden="false" customHeight="true" outlineLevel="0" collapsed="false">
      <c r="A124" s="25"/>
      <c r="B124" s="24"/>
      <c r="C124" s="9"/>
      <c r="D124" s="24"/>
    </row>
    <row r="125" customFormat="false" ht="15" hidden="false" customHeight="true" outlineLevel="0" collapsed="false">
      <c r="A125" s="29"/>
      <c r="B125" s="28"/>
      <c r="C125" s="12"/>
      <c r="D125" s="28"/>
    </row>
    <row r="126" customFormat="false" ht="15" hidden="false" customHeight="true" outlineLevel="0" collapsed="false">
      <c r="A126" s="25"/>
      <c r="B126" s="24"/>
      <c r="C126" s="9"/>
      <c r="D126" s="24"/>
    </row>
    <row r="127" customFormat="false" ht="15" hidden="false" customHeight="true" outlineLevel="0" collapsed="false">
      <c r="A127" s="29"/>
      <c r="B127" s="28"/>
      <c r="C127" s="12"/>
      <c r="D127" s="28"/>
    </row>
    <row r="128" customFormat="false" ht="15" hidden="false" customHeight="true" outlineLevel="0" collapsed="false">
      <c r="A128" s="25"/>
      <c r="B128" s="24"/>
      <c r="C128" s="9"/>
      <c r="D128" s="24"/>
    </row>
    <row r="129" customFormat="false" ht="15" hidden="false" customHeight="true" outlineLevel="0" collapsed="false">
      <c r="A129" s="29"/>
      <c r="B129" s="28"/>
      <c r="C129" s="12"/>
      <c r="D129" s="28"/>
    </row>
    <row r="130" customFormat="false" ht="15" hidden="false" customHeight="true" outlineLevel="0" collapsed="false">
      <c r="A130" s="25"/>
      <c r="B130" s="24"/>
      <c r="C130" s="9"/>
      <c r="D130" s="24"/>
    </row>
    <row r="131" customFormat="false" ht="15" hidden="false" customHeight="true" outlineLevel="0" collapsed="false">
      <c r="A131" s="29"/>
      <c r="B131" s="28"/>
      <c r="C131" s="12"/>
      <c r="D131" s="28"/>
    </row>
    <row r="132" customFormat="false" ht="15" hidden="false" customHeight="true" outlineLevel="0" collapsed="false">
      <c r="A132" s="25"/>
      <c r="B132" s="24"/>
      <c r="C132" s="9"/>
      <c r="D132" s="24"/>
    </row>
    <row r="133" customFormat="false" ht="15" hidden="false" customHeight="true" outlineLevel="0" collapsed="false">
      <c r="A133" s="29"/>
      <c r="B133" s="28"/>
      <c r="C133" s="12"/>
      <c r="D133" s="28"/>
    </row>
    <row r="134" customFormat="false" ht="15" hidden="false" customHeight="true" outlineLevel="0" collapsed="false">
      <c r="A134" s="25"/>
      <c r="B134" s="24"/>
      <c r="C134" s="9"/>
      <c r="D134" s="24"/>
    </row>
    <row r="135" customFormat="false" ht="15" hidden="false" customHeight="true" outlineLevel="0" collapsed="false">
      <c r="A135" s="29"/>
      <c r="B135" s="28"/>
      <c r="C135" s="12"/>
      <c r="D135" s="28"/>
    </row>
    <row r="136" customFormat="false" ht="15" hidden="false" customHeight="true" outlineLevel="0" collapsed="false">
      <c r="A136" s="25"/>
      <c r="B136" s="24"/>
      <c r="C136" s="9"/>
      <c r="D136" s="24"/>
    </row>
    <row r="137" customFormat="false" ht="15" hidden="false" customHeight="true" outlineLevel="0" collapsed="false">
      <c r="A137" s="29"/>
      <c r="B137" s="28"/>
      <c r="C137" s="12"/>
      <c r="D137" s="28"/>
    </row>
    <row r="138" customFormat="false" ht="15" hidden="false" customHeight="true" outlineLevel="0" collapsed="false">
      <c r="A138" s="25"/>
      <c r="B138" s="24"/>
      <c r="C138" s="9"/>
      <c r="D138" s="24"/>
    </row>
    <row r="139" customFormat="false" ht="15" hidden="false" customHeight="true" outlineLevel="0" collapsed="false">
      <c r="A139" s="29"/>
      <c r="B139" s="28"/>
      <c r="C139" s="12"/>
      <c r="D139" s="28"/>
    </row>
    <row r="140" customFormat="false" ht="15" hidden="false" customHeight="true" outlineLevel="0" collapsed="false">
      <c r="A140" s="25"/>
      <c r="B140" s="24"/>
      <c r="C140" s="9"/>
      <c r="D140" s="24"/>
    </row>
    <row r="141" customFormat="false" ht="15" hidden="false" customHeight="true" outlineLevel="0" collapsed="false">
      <c r="A141" s="29"/>
      <c r="B141" s="28"/>
      <c r="C141" s="12"/>
      <c r="D141" s="28"/>
    </row>
    <row r="142" customFormat="false" ht="15" hidden="false" customHeight="true" outlineLevel="0" collapsed="false">
      <c r="A142" s="25"/>
      <c r="B142" s="24"/>
      <c r="C142" s="9"/>
      <c r="D142" s="24"/>
    </row>
    <row r="143" customFormat="false" ht="15" hidden="false" customHeight="true" outlineLevel="0" collapsed="false">
      <c r="A143" s="29"/>
      <c r="B143" s="28"/>
      <c r="C143" s="12"/>
      <c r="D143" s="28"/>
    </row>
    <row r="144" customFormat="false" ht="15" hidden="false" customHeight="true" outlineLevel="0" collapsed="false">
      <c r="A144" s="25"/>
      <c r="B144" s="24"/>
      <c r="C144" s="9"/>
      <c r="D144" s="24"/>
    </row>
    <row r="145" customFormat="false" ht="15" hidden="false" customHeight="true" outlineLevel="0" collapsed="false">
      <c r="A145" s="29"/>
      <c r="B145" s="28"/>
      <c r="C145" s="12"/>
      <c r="D145" s="28"/>
    </row>
    <row r="146" customFormat="false" ht="15" hidden="false" customHeight="true" outlineLevel="0" collapsed="false">
      <c r="A146" s="25"/>
      <c r="B146" s="24"/>
      <c r="C146" s="9"/>
      <c r="D146" s="24"/>
    </row>
    <row r="147" customFormat="false" ht="15" hidden="false" customHeight="true" outlineLevel="0" collapsed="false">
      <c r="A147" s="29"/>
      <c r="B147" s="28"/>
      <c r="C147" s="12"/>
      <c r="D147" s="28"/>
    </row>
    <row r="148" customFormat="false" ht="15" hidden="false" customHeight="true" outlineLevel="0" collapsed="false">
      <c r="A148" s="25"/>
      <c r="B148" s="24"/>
      <c r="C148" s="9"/>
      <c r="D148" s="24"/>
    </row>
    <row r="149" customFormat="false" ht="15" hidden="false" customHeight="true" outlineLevel="0" collapsed="false">
      <c r="A149" s="29"/>
      <c r="B149" s="28"/>
      <c r="C149" s="12"/>
      <c r="D149" s="28"/>
    </row>
    <row r="150" customFormat="false" ht="15" hidden="false" customHeight="true" outlineLevel="0" collapsed="false">
      <c r="A150" s="25"/>
      <c r="B150" s="24"/>
      <c r="C150" s="9"/>
      <c r="D150" s="24"/>
    </row>
    <row r="151" customFormat="false" ht="15" hidden="false" customHeight="true" outlineLevel="0" collapsed="false">
      <c r="A151" s="29"/>
      <c r="B151" s="28"/>
      <c r="C151" s="12"/>
      <c r="D151" s="28"/>
    </row>
    <row r="152" customFormat="false" ht="15" hidden="false" customHeight="true" outlineLevel="0" collapsed="false">
      <c r="A152" s="25"/>
      <c r="B152" s="24"/>
      <c r="C152" s="9"/>
      <c r="D152" s="24"/>
    </row>
    <row r="153" customFormat="false" ht="15" hidden="false" customHeight="true" outlineLevel="0" collapsed="false">
      <c r="A153" s="29"/>
      <c r="B153" s="28"/>
      <c r="C153" s="12"/>
      <c r="D153" s="28"/>
    </row>
    <row r="154" customFormat="false" ht="15" hidden="false" customHeight="true" outlineLevel="0" collapsed="false">
      <c r="A154" s="25"/>
      <c r="B154" s="24"/>
      <c r="C154" s="9"/>
      <c r="D154" s="24"/>
    </row>
    <row r="155" customFormat="false" ht="15" hidden="false" customHeight="true" outlineLevel="0" collapsed="false">
      <c r="A155" s="29"/>
      <c r="B155" s="28"/>
      <c r="C155" s="12"/>
      <c r="D155" s="28"/>
    </row>
    <row r="156" customFormat="false" ht="15" hidden="false" customHeight="true" outlineLevel="0" collapsed="false">
      <c r="A156" s="25"/>
      <c r="B156" s="24"/>
      <c r="C156" s="9"/>
      <c r="D156" s="24"/>
    </row>
    <row r="157" customFormat="false" ht="15" hidden="false" customHeight="true" outlineLevel="0" collapsed="false">
      <c r="A157" s="29"/>
      <c r="B157" s="28"/>
      <c r="C157" s="12"/>
      <c r="D157" s="28"/>
    </row>
    <row r="158" customFormat="false" ht="15" hidden="false" customHeight="true" outlineLevel="0" collapsed="false">
      <c r="A158" s="25"/>
      <c r="B158" s="24"/>
      <c r="C158" s="9"/>
      <c r="D158" s="24"/>
    </row>
    <row r="159" customFormat="false" ht="15" hidden="false" customHeight="true" outlineLevel="0" collapsed="false">
      <c r="A159" s="29"/>
      <c r="B159" s="28"/>
      <c r="C159" s="12"/>
      <c r="D159" s="28"/>
    </row>
    <row r="160" customFormat="false" ht="15" hidden="false" customHeight="true" outlineLevel="0" collapsed="false">
      <c r="A160" s="25"/>
      <c r="B160" s="24"/>
      <c r="C160" s="9"/>
      <c r="D160" s="24"/>
    </row>
    <row r="161" customFormat="false" ht="15" hidden="false" customHeight="true" outlineLevel="0" collapsed="false">
      <c r="A161" s="29"/>
      <c r="B161" s="28"/>
      <c r="C161" s="12"/>
      <c r="D161" s="28"/>
    </row>
    <row r="162" customFormat="false" ht="15" hidden="false" customHeight="true" outlineLevel="0" collapsed="false">
      <c r="A162" s="25"/>
      <c r="B162" s="24"/>
      <c r="C162" s="9"/>
      <c r="D162" s="24"/>
    </row>
    <row r="163" customFormat="false" ht="15" hidden="false" customHeight="true" outlineLevel="0" collapsed="false">
      <c r="A163" s="29"/>
      <c r="B163" s="28"/>
      <c r="C163" s="12"/>
      <c r="D163" s="28"/>
    </row>
    <row r="164" customFormat="false" ht="15" hidden="false" customHeight="true" outlineLevel="0" collapsed="false">
      <c r="A164" s="25"/>
      <c r="B164" s="24"/>
      <c r="C164" s="9"/>
      <c r="D164" s="24"/>
    </row>
    <row r="165" customFormat="false" ht="15" hidden="false" customHeight="true" outlineLevel="0" collapsed="false">
      <c r="A165" s="29"/>
      <c r="B165" s="28"/>
      <c r="C165" s="12"/>
      <c r="D165" s="28"/>
    </row>
    <row r="166" customFormat="false" ht="15" hidden="false" customHeight="true" outlineLevel="0" collapsed="false">
      <c r="A166" s="25"/>
      <c r="B166" s="24"/>
      <c r="C166" s="9"/>
      <c r="D166" s="24"/>
    </row>
    <row r="167" customFormat="false" ht="15" hidden="false" customHeight="true" outlineLevel="0" collapsed="false">
      <c r="A167" s="29"/>
      <c r="B167" s="28"/>
      <c r="C167" s="12"/>
      <c r="D167" s="28"/>
    </row>
    <row r="168" customFormat="false" ht="15" hidden="false" customHeight="true" outlineLevel="0" collapsed="false">
      <c r="A168" s="25"/>
      <c r="B168" s="24"/>
      <c r="C168" s="9"/>
      <c r="D168" s="24"/>
    </row>
    <row r="169" customFormat="false" ht="15" hidden="false" customHeight="true" outlineLevel="0" collapsed="false">
      <c r="A169" s="29"/>
      <c r="B169" s="28"/>
      <c r="C169" s="12"/>
      <c r="D169" s="28"/>
    </row>
    <row r="170" customFormat="false" ht="15" hidden="false" customHeight="true" outlineLevel="0" collapsed="false">
      <c r="A170" s="25"/>
      <c r="B170" s="24"/>
      <c r="C170" s="9"/>
      <c r="D170" s="24"/>
    </row>
    <row r="171" customFormat="false" ht="15" hidden="false" customHeight="true" outlineLevel="0" collapsed="false">
      <c r="A171" s="29"/>
      <c r="B171" s="28"/>
      <c r="C171" s="12"/>
      <c r="D171" s="28"/>
    </row>
    <row r="172" customFormat="false" ht="15" hidden="false" customHeight="true" outlineLevel="0" collapsed="false">
      <c r="A172" s="25"/>
      <c r="B172" s="24"/>
      <c r="C172" s="9"/>
      <c r="D172" s="24"/>
    </row>
    <row r="173" customFormat="false" ht="15" hidden="false" customHeight="true" outlineLevel="0" collapsed="false">
      <c r="A173" s="29"/>
      <c r="B173" s="28"/>
      <c r="C173" s="12"/>
      <c r="D173" s="28"/>
    </row>
    <row r="174" customFormat="false" ht="15" hidden="false" customHeight="true" outlineLevel="0" collapsed="false">
      <c r="A174" s="25"/>
      <c r="B174" s="24"/>
      <c r="C174" s="9"/>
      <c r="D174" s="24"/>
    </row>
    <row r="175" customFormat="false" ht="15" hidden="false" customHeight="true" outlineLevel="0" collapsed="false">
      <c r="A175" s="29"/>
      <c r="B175" s="28"/>
      <c r="C175" s="12"/>
      <c r="D175" s="28"/>
    </row>
    <row r="176" customFormat="false" ht="15" hidden="false" customHeight="true" outlineLevel="0" collapsed="false">
      <c r="A176" s="25"/>
      <c r="B176" s="24"/>
      <c r="C176" s="9"/>
      <c r="D176" s="24"/>
    </row>
    <row r="177" customFormat="false" ht="15" hidden="false" customHeight="true" outlineLevel="0" collapsed="false">
      <c r="A177" s="29"/>
      <c r="B177" s="28"/>
      <c r="C177" s="12"/>
      <c r="D177" s="28"/>
    </row>
    <row r="178" customFormat="false" ht="15" hidden="false" customHeight="true" outlineLevel="0" collapsed="false">
      <c r="A178" s="25"/>
      <c r="B178" s="24"/>
      <c r="C178" s="9"/>
      <c r="D178" s="24"/>
    </row>
    <row r="179" customFormat="false" ht="15" hidden="false" customHeight="true" outlineLevel="0" collapsed="false">
      <c r="A179" s="29"/>
      <c r="B179" s="28"/>
      <c r="C179" s="12"/>
      <c r="D179" s="28"/>
    </row>
    <row r="180" customFormat="false" ht="15" hidden="false" customHeight="true" outlineLevel="0" collapsed="false">
      <c r="A180" s="25"/>
      <c r="B180" s="24"/>
      <c r="C180" s="9"/>
      <c r="D180" s="24"/>
    </row>
    <row r="181" customFormat="false" ht="15" hidden="false" customHeight="true" outlineLevel="0" collapsed="false">
      <c r="A181" s="29"/>
      <c r="B181" s="28"/>
      <c r="C181" s="12"/>
      <c r="D181" s="28"/>
    </row>
    <row r="182" customFormat="false" ht="15" hidden="false" customHeight="true" outlineLevel="0" collapsed="false">
      <c r="A182" s="25"/>
      <c r="B182" s="24"/>
      <c r="C182" s="9"/>
      <c r="D182" s="24"/>
    </row>
    <row r="183" customFormat="false" ht="15" hidden="false" customHeight="true" outlineLevel="0" collapsed="false">
      <c r="A183" s="29"/>
      <c r="B183" s="28"/>
      <c r="C183" s="12"/>
      <c r="D183" s="28"/>
    </row>
    <row r="184" customFormat="false" ht="15" hidden="false" customHeight="true" outlineLevel="0" collapsed="false">
      <c r="A184" s="25"/>
      <c r="B184" s="24"/>
      <c r="C184" s="9"/>
      <c r="D184" s="24"/>
    </row>
    <row r="185" customFormat="false" ht="15" hidden="false" customHeight="true" outlineLevel="0" collapsed="false">
      <c r="A185" s="29"/>
      <c r="B185" s="28"/>
      <c r="C185" s="12"/>
      <c r="D185" s="28"/>
    </row>
    <row r="186" customFormat="false" ht="15" hidden="false" customHeight="true" outlineLevel="0" collapsed="false">
      <c r="A186" s="25"/>
      <c r="B186" s="24"/>
      <c r="C186" s="9"/>
      <c r="D186" s="24"/>
    </row>
    <row r="187" customFormat="false" ht="15" hidden="false" customHeight="true" outlineLevel="0" collapsed="false">
      <c r="A187" s="29"/>
      <c r="B187" s="28"/>
      <c r="C187" s="12"/>
      <c r="D187" s="28"/>
    </row>
    <row r="188" customFormat="false" ht="15" hidden="false" customHeight="true" outlineLevel="0" collapsed="false">
      <c r="A188" s="25"/>
      <c r="B188" s="24"/>
      <c r="C188" s="9"/>
      <c r="D188" s="24"/>
    </row>
    <row r="189" customFormat="false" ht="15" hidden="false" customHeight="true" outlineLevel="0" collapsed="false">
      <c r="A189" s="29"/>
      <c r="B189" s="28"/>
      <c r="C189" s="12"/>
      <c r="D189" s="28"/>
    </row>
    <row r="190" customFormat="false" ht="15" hidden="false" customHeight="true" outlineLevel="0" collapsed="false">
      <c r="A190" s="25"/>
      <c r="B190" s="24"/>
      <c r="C190" s="9"/>
      <c r="D190" s="24"/>
    </row>
    <row r="191" customFormat="false" ht="15" hidden="false" customHeight="true" outlineLevel="0" collapsed="false">
      <c r="A191" s="29"/>
      <c r="B191" s="28"/>
      <c r="C191" s="12"/>
      <c r="D191" s="28"/>
    </row>
    <row r="192" customFormat="false" ht="15" hidden="false" customHeight="true" outlineLevel="0" collapsed="false">
      <c r="A192" s="25"/>
      <c r="B192" s="24"/>
      <c r="C192" s="9"/>
      <c r="D192" s="24"/>
    </row>
    <row r="193" customFormat="false" ht="15" hidden="false" customHeight="true" outlineLevel="0" collapsed="false">
      <c r="A193" s="29"/>
      <c r="B193" s="28"/>
      <c r="C193" s="12"/>
      <c r="D193" s="28"/>
    </row>
    <row r="194" customFormat="false" ht="15" hidden="false" customHeight="true" outlineLevel="0" collapsed="false">
      <c r="A194" s="25"/>
      <c r="B194" s="24"/>
      <c r="C194" s="9"/>
      <c r="D194" s="24"/>
    </row>
    <row r="195" customFormat="false" ht="15" hidden="false" customHeight="true" outlineLevel="0" collapsed="false">
      <c r="A195" s="29"/>
      <c r="B195" s="28"/>
      <c r="C195" s="12"/>
      <c r="D195" s="28"/>
    </row>
    <row r="196" customFormat="false" ht="15" hidden="false" customHeight="true" outlineLevel="0" collapsed="false">
      <c r="A196" s="25"/>
      <c r="B196" s="24"/>
      <c r="C196" s="9"/>
      <c r="D196" s="24"/>
    </row>
    <row r="197" customFormat="false" ht="15" hidden="false" customHeight="true" outlineLevel="0" collapsed="false">
      <c r="A197" s="29"/>
      <c r="B197" s="28"/>
      <c r="C197" s="12"/>
      <c r="D197" s="28"/>
    </row>
    <row r="198" customFormat="false" ht="15" hidden="false" customHeight="true" outlineLevel="0" collapsed="false">
      <c r="A198" s="25"/>
      <c r="B198" s="24"/>
      <c r="C198" s="9"/>
      <c r="D198" s="24"/>
    </row>
    <row r="199" customFormat="false" ht="15" hidden="false" customHeight="true" outlineLevel="0" collapsed="false">
      <c r="A199" s="29"/>
      <c r="B199" s="28"/>
      <c r="C199" s="12"/>
      <c r="D199" s="28"/>
    </row>
    <row r="200" customFormat="false" ht="15" hidden="false" customHeight="true" outlineLevel="0" collapsed="false">
      <c r="A200" s="25"/>
      <c r="B200" s="24"/>
      <c r="C200" s="9"/>
      <c r="D200" s="24"/>
    </row>
    <row r="201" customFormat="false" ht="15" hidden="false" customHeight="true" outlineLevel="0" collapsed="false">
      <c r="A201" s="29"/>
      <c r="B201" s="28"/>
      <c r="C201" s="12"/>
      <c r="D201" s="28"/>
    </row>
    <row r="202" customFormat="false" ht="15" hidden="false" customHeight="true" outlineLevel="0" collapsed="false">
      <c r="A202" s="25"/>
      <c r="B202" s="24"/>
      <c r="C202" s="9"/>
      <c r="D202" s="24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2026-08-09T14:42:23Z</dcterms:created>
  <dc:creator>openpyxl</dc:creator>
  <dc:description/>
  <dc:language>en-US</dc:language>
  <cp:lastModifiedBy>Arda Küçük</cp:lastModifiedBy>
  <dcterms:modified xsi:type="dcterms:W3CDTF">2026-09-26T07:01:08Z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